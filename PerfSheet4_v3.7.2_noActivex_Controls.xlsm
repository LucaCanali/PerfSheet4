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uca\Desktop\PerfSheet4_v3.7.2\"/>
    </mc:Choice>
  </mc:AlternateContent>
  <bookViews>
    <workbookView xWindow="240" yWindow="60" windowWidth="16944" windowHeight="7548"/>
  </bookViews>
  <sheets>
    <sheet name="Main" sheetId="1" r:id="rId1"/>
    <sheet name="Queries" sheetId="12" r:id="rId2"/>
    <sheet name="Data" sheetId="10" r:id="rId3"/>
    <sheet name="Pivot" sheetId="11" r:id="rId4"/>
    <sheet name="Notes" sheetId="13" r:id="rId5"/>
  </sheets>
  <definedNames>
    <definedName name="Custom_plot">Main!$C$20</definedName>
    <definedName name="dbalias">Main!$F$5</definedName>
    <definedName name="DBPassword">Main!$F$4</definedName>
    <definedName name="EndTime">Main!$F$7</definedName>
    <definedName name="ODBC_Name">Main!$F$10</definedName>
    <definedName name="Oracle_ODBC">Main!$F$9</definedName>
    <definedName name="QueryDropDown_Value">Main!$F$6</definedName>
    <definedName name="Show_SQL">Main!$C$10</definedName>
    <definedName name="StartTime">Main!$F$8</definedName>
    <definedName name="UserName">Main!$F$3</definedName>
  </definedNames>
  <calcPr calcId="152511"/>
</workbook>
</file>

<file path=xl/calcChain.xml><?xml version="1.0" encoding="utf-8"?>
<calcChain xmlns="http://schemas.openxmlformats.org/spreadsheetml/2006/main">
  <c r="F9" i="1" l="1"/>
</calcChain>
</file>

<file path=xl/comments1.xml><?xml version="1.0" encoding="utf-8"?>
<comments xmlns="http://schemas.openxmlformats.org/spreadsheetml/2006/main">
  <authors>
    <author>Luca Canali</author>
  </authors>
  <commentList>
    <comment ref="E5" authorId="0" shape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shapeId="0">
      <text>
        <r>
          <rPr>
            <sz val="8"/>
            <color indexed="81"/>
            <rFont val="Tahoma"/>
            <family val="2"/>
          </rPr>
          <t xml:space="preserve">Select one of the pre-defined queries.
Queries can be added/customized form the "Queries" worksheet.
</t>
        </r>
      </text>
    </comment>
    <comment ref="E7" authorId="0" shapeId="0">
      <text>
        <r>
          <rPr>
            <sz val="8"/>
            <color indexed="81"/>
            <rFont val="Tahoma"/>
            <family val="2"/>
          </rPr>
          <t>Define here the time filter that will be used when querying AWR. The default is the current time (sysdate). You can use any valid SQL time expression.</t>
        </r>
      </text>
    </comment>
    <comment ref="E8" authorId="0" shapeId="0">
      <text>
        <r>
          <rPr>
            <sz val="8"/>
            <color indexed="81"/>
            <rFont val="Tahoma"/>
            <family val="2"/>
          </rPr>
          <t xml:space="preserve">Define here the time filter that will be used when querying AWR. The default is 1 week of data.Define here the time filter that will be used when querying AWR. The default is the current time minus 7 days  (sysdate - 7). You can use any valid SQL time expression.
</t>
        </r>
      </text>
    </comment>
    <comment ref="E9" authorId="0" shape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0" authorId="0" shapeId="0">
      <text>
        <r>
          <rPr>
            <sz val="8"/>
            <color indexed="81"/>
            <rFont val="Tahoma"/>
            <family val="2"/>
          </rPr>
          <t xml:space="preserve">When this is set to True, a window will pop up for review and optional editing of the SQL before execution.
</t>
        </r>
      </text>
    </comment>
    <comment ref="E10" authorId="0" shape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19" authorId="0" shapeId="0">
      <text>
        <r>
          <rPr>
            <sz val="8"/>
            <color indexed="81"/>
            <rFont val="Tahoma"/>
            <family val="2"/>
          </rPr>
          <t>Set to False when not using one of the pre-defined queries</t>
        </r>
      </text>
    </comment>
  </commentList>
</comments>
</file>

<file path=xl/sharedStrings.xml><?xml version="1.0" encoding="utf-8"?>
<sst xmlns="http://schemas.openxmlformats.org/spreadsheetml/2006/main" count="109" uniqueCount="109">
  <si>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</si>
  <si>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</si>
  <si>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</si>
  <si>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</si>
  <si>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</si>
  <si>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</si>
  <si>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</si>
  <si>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</si>
  <si>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</si>
  <si>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</si>
  <si>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</si>
  <si>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</si>
  <si>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</si>
  <si>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</si>
  <si>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</si>
  <si>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</si>
  <si>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</si>
  <si>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</si>
  <si>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</si>
  <si>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</si>
  <si>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</si>
  <si>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</si>
  <si>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</si>
  <si>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</si>
  <si>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</si>
  <si>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</si>
  <si>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</si>
  <si>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</si>
  <si>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</si>
  <si>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</si>
  <si>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</si>
  <si>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</si>
  <si>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</si>
  <si>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</si>
  <si>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</si>
  <si>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</si>
  <si>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</si>
  <si>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</si>
  <si>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</si>
  <si>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Data export name template:</t>
  </si>
  <si>
    <t>Perfsheet4_AWR_ioevent_histogram</t>
  </si>
  <si>
    <t>Perfsheet4_AWR_sysmetric</t>
  </si>
  <si>
    <t>Perfsheet4_AWR_service_stat</t>
  </si>
  <si>
    <t>Perfsheet4_AWR_sysstat</t>
  </si>
  <si>
    <t>Perfsheet4_AWR_system_event</t>
  </si>
  <si>
    <t>system</t>
  </si>
  <si>
    <t>ORCL</t>
  </si>
  <si>
    <t>EXEC DBMS_WORKLOAD_REPOSITORY.MODIFY_SNAPSHOT_SETTINGS(interval =&gt; 60,retention =&gt; 40320)</t>
  </si>
  <si>
    <t>select cast(min(sn.begin_interval_time) over (partition by sn.dbid,sn.snap_id) as date) snap_time,  --workaround to uniform snap_time over all instances in RAC
 --ss.dbid,  --uncomment if you have multiple dbid in your AWR
 sn.instance_number,
    ss.event_name,
 ss.wait_class,
 ss.total_waits,
    ss.time_waited_micro,
 ss.total_waits - lag(ss.total_waits) over (partition by ss.dbid,ss.instance_number,ss.event_id order by sn.snap_id nulls first) Delta_waits,
 ss.time_waited_micro - lag(ss.time_waited_micro) over (partition by ss.dbid,ss.instance_number,ss.event_id order by sn.snap_id nulls first) Delta_timewaited,
 round((ss.total_waits - lag(ss.total_waits)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Waits_per_sec,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round((ss.time_waited_micro - lag(ss.time_waited_micro) over (partition by ss.dbid,ss.instance_number,ss.event_id order by sn.snap_id nulls first)) /
           nullif(ss.total_waits - lag(ss.total_waits) over (partition by ss.dbid,ss.instance_number,ss.event_id order by sn.snap_id nulls first),0),2) Avg_wait_time_micro
from dba_hist_system_event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</si>
  <si>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ss.stat_name,
 ss.value,
 ss.value - lag(ss.value) over (partition by ss.dbid,ss.instance_number,ss.stat_id order by sn.snap_id nulls first) Delta_value,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Rate_value
from dba_hist_sysstat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</si>
  <si>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ss.service_name,
 ss.stat_name,
 ss.value,
 ss.value - lag(ss.value) over (partition by ss.dbid,ss.instance_number,ss.stat_id,ss.service_name order by sn.snap_id nulls first) Delta_value,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ss.dbid,ss.instance_number,ss.stat_id,ss.service_name order by sn.snap_id nulls first)) /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END_INTERVAL_TIME-begin_interval_time)),2 ) Rate_value
from dba_hist_service_stat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</si>
  <si>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ss.metric_name||' - '||ss.metric_unit metric_name_unit,
 ss.maxval,
 ss.average,
 ss.standard_deviation
from dba_hist_sysmetric_summary ss,
     dba_hist_snapshot sn
where
  sn.snap_id = ss.snap_id
 and sn.dbid = ss.dbid
 and sn.instance_number = ss.instance_number
 and sn.begin_interval_time &amp;delta_time_where_clause
order by sn.snap_id</t>
  </si>
  <si>
    <t>Perfsheet4_query_AWR_Waitclass_and_CPU.sql</t>
  </si>
  <si>
    <t>Perfsheet4_AWR_Waitclass_and_CPU</t>
  </si>
  <si>
    <t>Wait events per class (dba_hist_system_event)</t>
  </si>
  <si>
    <t>select snap_time, snap_id, instance_number, Wait_class, sum(Rate_timewaited) Rate_timewaited_per_Class 
from (
     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Wait_class
    from dba_hist_system_event ss,
       dba_hist_snapshot sn
    where
       sn.snap_id = ss.snap_id
       and sn.dbid = ss.dbid
       and sn.instance_number = ss.instance_number
       and sn.begin_interval_time &amp;delta_time_where_clause
       and wait_class &lt;&gt;'Idle'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'CPU' Wait_class      
    from dba_hist_sysstat ss,
       dba_hist_snapshot sn
    where
       sn.snap_id = ss.snap_id
       and sn.dbid = ss.dbid
       and sn.instance_number = ss.instance_number
       and sn.begin_interval_time &amp;delta_time_where_clause
       and ss.stat_name='CPU used by this session' -- I don't believe I need to add 'recursive cpu usage' and 'parse time cpu', at least not in 11gR2
) group by snap_time, snap_id, instance_number, Wait_class</t>
  </si>
  <si>
    <t xml:space="preserve">Change AWR snapshot interval and retention if needed. Example: </t>
  </si>
  <si>
    <t>Step 1: Load data into Excel</t>
  </si>
  <si>
    <t>Step 2: Plot data</t>
  </si>
  <si>
    <t>NODATA</t>
  </si>
  <si>
    <t xml:space="preserve">http://www.youtube.com/watch?v=kC0EJCLZWIw </t>
  </si>
  <si>
    <t>Getting started video:</t>
  </si>
  <si>
    <t>Perfsheet4_query_AWR_iostat_detail.sql</t>
  </si>
  <si>
    <t>Perfsheet4_AWR_iostat_detail</t>
  </si>
  <si>
    <t>select cast(min(sn.begin_interval_time) over (partition by sn.dbid,sn.snap_id) as date) snap_time,  --workaround to uniform snap_time over all instances in RAC
 --ss.dbid,  --uncomment if you have multiple dbid in your AWR
 sn.instance_number,
 io.function_name,
 io.filetype_name,
    round((io.small_read_reqs - lag(io.small_read_reqs)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Rate_small_read_reqs,
    round((io.large_read_megabytes - lag(io.large_read_megabytes)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Rate_large_read_megabytes,
    round((io.small_write_reqs - lag(io.small_write_reqs)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Rate_small_write_reqs,
    round((io.large_write_megabytes - lag(io.large_write_megabytes)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Rate_large_write_megabytes,
    round((io.wait_time - lag(io.wait_time)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Rate_wait_time
from dba_hist_iostat_detail io,
     dba_hist_snapshot sn
where
  sn.snap_id = io.snap_id
 and sn.dbid = io.dbid
 and sn.instance_number = io.instance_number
 and sn.begin_interval_time &amp;delta_time_where_clause
order by sn.snap_id</t>
  </si>
  <si>
    <t>sysdate</t>
  </si>
  <si>
    <t>sysdate - 7</t>
  </si>
  <si>
    <t>Oracle ODBC</t>
  </si>
  <si>
    <t>ODBC name</t>
  </si>
  <si>
    <t>End time</t>
  </si>
  <si>
    <t>Start time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</si>
  <si>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</si>
  <si>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</si>
  <si>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</si>
  <si>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</si>
  <si>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</si>
  <si>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</si>
  <si>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</si>
  <si>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</si>
  <si>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</si>
  <si>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</si>
  <si>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Perfsheet4 is a tool for Oracle performance analysis</t>
  </si>
  <si>
    <t>It provides a simplified interface to extract and visualize AWR data using Excel pivot charts</t>
  </si>
  <si>
    <t>select cast(min(sn.begin_interval_time) over (partition by sn.dbid,sn.snap_id) as date) snap_time,  --workaround to uniform snap_time over all instances in RAC
 --eh.dbid,  --uncomment if you have multiple dbid in your AWR
 sn.instance_number,
 eh.event_name,
 eh.wait_time_milli,
 --eh.wait_count,
 eh.wait_count - lag(eh.wait_count) over (partition by eh.dbid,eh.instance_number,eh.event_id,eh.wait_time_milli order by sn.snap_id nulls first) Delta_wait_count,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Rate_wait_count_per_bin,
        0.75 * eh.wait_time_milli *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Rate_wait_time_per_bin
from dba_hist_event_histogram eh,
     dba_hist_snapshot sn
where
    sn.snap_id = eh.snap_id
and sn.dbid = eh.dbid
and sn.instance_number = eh.instance_number
and sn.begin_interval_time &amp;delta_time_where_clause
and eh.wait_class in ('User I/O','System I/O','Commit')  -- need to limit search or dump file can grow too big
order by sn.snap_id</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</si>
  <si>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</si>
  <si>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</si>
  <si>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</si>
  <si>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</si>
  <si>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</si>
  <si>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</si>
  <si>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</si>
  <si>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 xml:space="preserve">      Additional credits: DB_Group@CERN, Rhojel Echano, Hans-Peter Sloot, Wellington Prado</t>
  </si>
  <si>
    <t>The "Query AWR" function needs a Oracle (instant) client. Note also Oracle licensing for AWR</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</si>
  <si>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</si>
  <si>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</si>
  <si>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</si>
  <si>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</si>
  <si>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</si>
  <si>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</si>
  <si>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</si>
  <si>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</si>
  <si>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</si>
  <si>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</si>
  <si>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</si>
  <si>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Version: 3.7 modified to exclude Activex controls, February 2015.</t>
  </si>
  <si>
    <t>Use with Oracle versions 11.2.0.x and 12.1.0.x. Tested on Excel 2010 or 2013 on Win7/8.1</t>
  </si>
  <si>
    <t>manager</t>
  </si>
  <si>
    <t>Add query name and details in this line. You would also need to edit the input range in the dropdown control preperty in the Main worksheet, cell F6</t>
  </si>
  <si>
    <t>Authors: Luca.Canali@cern.ch, from the original ideas of PerfSheet3 by Tanel@TanelPoder.com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</si>
</sst>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8"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0" fontId="2" fillId="0" borderId="0" xfId="0" applyFont="1"/>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Alignment="1">
      <alignment wrapText="1"/>
    </xf>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0" fontId="1" fillId="0" borderId="0" xfId="0" applyFont="1" applyAlignment="1">
      <alignment vertical="top"/>
    </xf>
    <xf numFmtId="0" fontId="0" fillId="0" borderId="0" xfId="0" applyAlignment="1">
      <alignment vertical="top"/>
    </xf>
    <xf numFmtId="49" fontId="0" fillId="0" borderId="0" xfId="0" applyNumberFormat="1" applyAlignment="1">
      <alignment horizontal="left"/>
    </xf>
    <xf numFmtId="0" fontId="0" fillId="0" borderId="0" xfId="0" applyNumberFormat="1"/>
    <xf numFmtId="0" fontId="0" fillId="0" borderId="0" xfId="0"/>
    <xf numFmtId="0" fontId="7" fillId="0" borderId="0" xfId="0" applyFont="1"/>
    <xf numFmtId="164" fontId="0" fillId="0" borderId="0" xfId="0" applyNumberFormat="1"/>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C$20" noThreeD="1"/>
</file>

<file path=xl/ctrlProps/ctrlProp2.xml><?xml version="1.0" encoding="utf-8"?>
<formControlPr xmlns="http://schemas.microsoft.com/office/spreadsheetml/2009/9/main" objectType="CheckBox" checked="Checked" fmlaLink="C10" noThreeD="1"/>
</file>

<file path=xl/ctrlProps/ctrlProp3.xml><?xml version="1.0" encoding="utf-8"?>
<formControlPr xmlns="http://schemas.microsoft.com/office/spreadsheetml/2009/9/main" objectType="CheckBox" fmlaLink="$F$9" noThreeD="1"/>
</file>

<file path=xl/ctrlProps/ctrlProp4.xml><?xml version="1.0" encoding="utf-8"?>
<formControlPr xmlns="http://schemas.microsoft.com/office/spreadsheetml/2009/9/main" objectType="Drop" dropStyle="combo" dx="20" fmlaLink="$F$6" fmlaRange="Queries!$A$11:$A$19"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18</xdr:row>
          <xdr:rowOff>190500</xdr:rowOff>
        </xdr:from>
        <xdr:to>
          <xdr:col>3</xdr:col>
          <xdr:colOff>53340</xdr:colOff>
          <xdr:row>20</xdr:row>
          <xdr:rowOff>60960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527685</xdr:colOff>
      <xdr:row>10</xdr:row>
      <xdr:rowOff>177709</xdr:rowOff>
    </xdr:from>
    <xdr:to>
      <xdr:col>2</xdr:col>
      <xdr:colOff>510540</xdr:colOff>
      <xdr:row>12</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10</xdr:row>
      <xdr:rowOff>167094</xdr:rowOff>
    </xdr:from>
    <xdr:to>
      <xdr:col>5</xdr:col>
      <xdr:colOff>1169126</xdr:colOff>
      <xdr:row>12</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449580</xdr:colOff>
          <xdr:row>9</xdr:row>
          <xdr:rowOff>0</xdr:rowOff>
        </xdr:from>
        <xdr:to>
          <xdr:col>3</xdr:col>
          <xdr:colOff>45720</xdr:colOff>
          <xdr:row>10</xdr:row>
          <xdr:rowOff>53340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84909</xdr:colOff>
      <xdr:row>12</xdr:row>
      <xdr:rowOff>180160</xdr:rowOff>
    </xdr:from>
    <xdr:to>
      <xdr:col>5</xdr:col>
      <xdr:colOff>1228998</xdr:colOff>
      <xdr:row>17</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10</xdr:row>
      <xdr:rowOff>159201</xdr:rowOff>
    </xdr:from>
    <xdr:to>
      <xdr:col>5</xdr:col>
      <xdr:colOff>2487385</xdr:colOff>
      <xdr:row>12</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12</xdr:row>
      <xdr:rowOff>168596</xdr:rowOff>
    </xdr:from>
    <xdr:to>
      <xdr:col>3</xdr:col>
      <xdr:colOff>219243</xdr:colOff>
      <xdr:row>17</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1546315</xdr:colOff>
      <xdr:row>12</xdr:row>
      <xdr:rowOff>169546</xdr:rowOff>
    </xdr:from>
    <xdr:to>
      <xdr:col>5</xdr:col>
      <xdr:colOff>2708364</xdr:colOff>
      <xdr:row>17</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20</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10</xdr:row>
      <xdr:rowOff>113349</xdr:rowOff>
    </xdr:from>
    <xdr:to>
      <xdr:col>6</xdr:col>
      <xdr:colOff>185226</xdr:colOff>
      <xdr:row>10</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276225</xdr:colOff>
      <xdr:row>3</xdr:row>
      <xdr:rowOff>95250</xdr:rowOff>
    </xdr:from>
    <xdr:to>
      <xdr:col>3</xdr:col>
      <xdr:colOff>190500</xdr:colOff>
      <xdr:row>9</xdr:row>
      <xdr:rowOff>57150</xdr:rowOff>
    </xdr:to>
    <xdr:grpSp>
      <xdr:nvGrpSpPr>
        <xdr:cNvPr id="3" name="Group 2"/>
        <xdr:cNvGrpSpPr/>
      </xdr:nvGrpSpPr>
      <xdr:grpSpPr>
        <a:xfrm>
          <a:off x="779145" y="803910"/>
          <a:ext cx="1209675" cy="137922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411480</xdr:colOff>
          <xdr:row>8</xdr:row>
          <xdr:rowOff>30480</xdr:rowOff>
        </xdr:from>
        <xdr:to>
          <xdr:col>5</xdr:col>
          <xdr:colOff>647700</xdr:colOff>
          <xdr:row>9</xdr:row>
          <xdr:rowOff>15240</xdr:rowOff>
        </xdr:to>
        <xdr:sp macro="" textlink="">
          <xdr:nvSpPr>
            <xdr:cNvPr id="1046" name="Check Box 22"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xdr:row>
          <xdr:rowOff>0</xdr:rowOff>
        </xdr:from>
        <xdr:to>
          <xdr:col>6</xdr:col>
          <xdr:colOff>0</xdr:colOff>
          <xdr:row>6</xdr:row>
          <xdr:rowOff>7620</xdr:rowOff>
        </xdr:to>
        <xdr:sp macro="" textlink="">
          <xdr:nvSpPr>
            <xdr:cNvPr id="1049" name="QueryDropDown"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youtube.com/watch?v=kC0EJCLZWIw"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3"/>
  <sheetViews>
    <sheetView showGridLines="0" tabSelected="1" zoomScaleNormal="100" workbookViewId="0">
      <selection activeCell="H2" sqref="H2"/>
    </sheetView>
  </sheetViews>
  <sheetFormatPr defaultRowHeight="18.600000000000001" customHeight="1" x14ac:dyDescent="0.3"/>
  <cols>
    <col min="1" max="1" width="7.33203125" customWidth="1"/>
    <col min="2" max="2" width="9.77734375" customWidth="1"/>
    <col min="3" max="3" width="9.109375" customWidth="1"/>
    <col min="4" max="4" width="7.6640625" customWidth="1"/>
    <col min="5" max="5" width="11.5546875" customWidth="1"/>
    <col min="6" max="6" width="48" customWidth="1"/>
    <col min="7" max="7" width="7.88671875" customWidth="1"/>
    <col min="8" max="8" width="84.109375" customWidth="1"/>
  </cols>
  <sheetData>
    <row r="2" spans="2:8" ht="18.600000000000001" customHeight="1" x14ac:dyDescent="0.3">
      <c r="H2" s="20" t="s">
        <v>81</v>
      </c>
    </row>
    <row r="3" spans="2:8" ht="18.600000000000001" customHeight="1" x14ac:dyDescent="0.3">
      <c r="E3" t="s">
        <v>5</v>
      </c>
      <c r="F3" t="s">
        <v>45</v>
      </c>
      <c r="H3" s="1" t="s">
        <v>82</v>
      </c>
    </row>
    <row r="4" spans="2:8" ht="18.600000000000001" customHeight="1" x14ac:dyDescent="0.3">
      <c r="E4" t="s">
        <v>6</v>
      </c>
      <c r="F4" s="21" t="s">
        <v>106</v>
      </c>
      <c r="H4" s="11" t="s">
        <v>108</v>
      </c>
    </row>
    <row r="5" spans="2:8" ht="18.600000000000001" customHeight="1" x14ac:dyDescent="0.3">
      <c r="E5" t="s">
        <v>90</v>
      </c>
      <c r="F5" t="s">
        <v>46</v>
      </c>
      <c r="H5" s="19" t="s">
        <v>91</v>
      </c>
    </row>
    <row r="6" spans="2:8" ht="18.600000000000001" customHeight="1" x14ac:dyDescent="0.3">
      <c r="E6" t="s">
        <v>25</v>
      </c>
      <c r="F6" s="7">
        <v>1</v>
      </c>
      <c r="H6" s="11" t="s">
        <v>104</v>
      </c>
    </row>
    <row r="7" spans="2:8" ht="18.600000000000001" customHeight="1" x14ac:dyDescent="0.3">
      <c r="E7" t="s">
        <v>69</v>
      </c>
      <c r="F7" s="17" t="s">
        <v>65</v>
      </c>
      <c r="H7" s="12" t="s">
        <v>105</v>
      </c>
    </row>
    <row r="8" spans="2:8" ht="18.600000000000001" customHeight="1" x14ac:dyDescent="0.3">
      <c r="E8" t="s">
        <v>70</v>
      </c>
      <c r="F8" s="17" t="s">
        <v>66</v>
      </c>
      <c r="H8" s="12" t="s">
        <v>92</v>
      </c>
    </row>
    <row r="9" spans="2:8" ht="18.600000000000001" customHeight="1" x14ac:dyDescent="0.3">
      <c r="E9" t="s">
        <v>67</v>
      </c>
      <c r="F9" s="6" t="b">
        <f ca="1">IF(VALUE(RIGHT(INFO("OSVERSION"),4))&lt;=6.01,FALSE,TRUE)</f>
        <v>0</v>
      </c>
    </row>
    <row r="10" spans="2:8" ht="18.600000000000001" customHeight="1" x14ac:dyDescent="0.3">
      <c r="B10" t="s">
        <v>7</v>
      </c>
      <c r="C10" s="6" t="b">
        <v>1</v>
      </c>
      <c r="E10" s="18" t="s">
        <v>68</v>
      </c>
      <c r="F10" s="18" t="s">
        <v>72</v>
      </c>
      <c r="H10" s="13" t="s">
        <v>61</v>
      </c>
    </row>
    <row r="11" spans="2:8" ht="18.600000000000001" customHeight="1" x14ac:dyDescent="0.3">
      <c r="H11" s="14" t="s">
        <v>60</v>
      </c>
    </row>
    <row r="13" spans="2:8" ht="18.600000000000001" customHeight="1" x14ac:dyDescent="0.3">
      <c r="H13" s="1" t="s">
        <v>71</v>
      </c>
    </row>
    <row r="14" spans="2:8" ht="18.600000000000001" customHeight="1" x14ac:dyDescent="0.3">
      <c r="H14" t="s">
        <v>57</v>
      </c>
    </row>
    <row r="15" spans="2:8" ht="18.600000000000001" customHeight="1" x14ac:dyDescent="0.3">
      <c r="H15" s="11" t="s">
        <v>73</v>
      </c>
    </row>
    <row r="16" spans="2:8" ht="18.600000000000001" customHeight="1" x14ac:dyDescent="0.3">
      <c r="H16" s="12" t="s">
        <v>96</v>
      </c>
    </row>
    <row r="17" spans="2:11" ht="18.600000000000001" customHeight="1" x14ac:dyDescent="0.3">
      <c r="H17" s="12" t="s">
        <v>97</v>
      </c>
    </row>
    <row r="18" spans="2:11" ht="18.600000000000001" customHeight="1" x14ac:dyDescent="0.3">
      <c r="H18" t="s">
        <v>58</v>
      </c>
    </row>
    <row r="19" spans="2:11" ht="16.2" customHeight="1" x14ac:dyDescent="0.3">
      <c r="B19" t="s">
        <v>34</v>
      </c>
      <c r="F19" t="s">
        <v>74</v>
      </c>
      <c r="H19" s="12" t="s">
        <v>98</v>
      </c>
    </row>
    <row r="20" spans="2:11" ht="18.600000000000001" customHeight="1" x14ac:dyDescent="0.3">
      <c r="C20" s="6" t="b">
        <v>1</v>
      </c>
      <c r="F20" t="s">
        <v>75</v>
      </c>
      <c r="H20" s="12"/>
    </row>
    <row r="23" spans="2:11" ht="18.600000000000001" customHeight="1" x14ac:dyDescent="0.3">
      <c r="K23" s="1"/>
    </row>
  </sheetData>
  <conditionalFormatting sqref="E10:F10">
    <cfRule type="expression" dxfId="0" priority="1">
      <formula>NOT($F$9)</formula>
    </cfRule>
  </conditionalFormatting>
  <hyperlinks>
    <hyperlink ref="H1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Check Box 3">
              <controlPr locked="0" defaultSize="0" autoFill="0" autoLine="0" autoPict="0" altText="">
                <anchor moveWithCells="1">
                  <from>
                    <xdr:col>2</xdr:col>
                    <xdr:colOff>419100</xdr:colOff>
                    <xdr:row>18</xdr:row>
                    <xdr:rowOff>190500</xdr:rowOff>
                  </from>
                  <to>
                    <xdr:col>3</xdr:col>
                    <xdr:colOff>53340</xdr:colOff>
                    <xdr:row>20</xdr:row>
                    <xdr:rowOff>60960</xdr:rowOff>
                  </to>
                </anchor>
              </controlPr>
            </control>
          </mc:Choice>
        </mc:AlternateContent>
        <mc:AlternateContent xmlns:mc="http://schemas.openxmlformats.org/markup-compatibility/2006">
          <mc:Choice Requires="x14">
            <control shapeId="1028" r:id="rId6" name="Check Box 4">
              <controlPr locked="0" defaultSize="0" autoFill="0" autoLine="0" autoPict="0" altText="">
                <anchor moveWithCells="1">
                  <from>
                    <xdr:col>2</xdr:col>
                    <xdr:colOff>449580</xdr:colOff>
                    <xdr:row>9</xdr:row>
                    <xdr:rowOff>0</xdr:rowOff>
                  </from>
                  <to>
                    <xdr:col>3</xdr:col>
                    <xdr:colOff>45720</xdr:colOff>
                    <xdr:row>10</xdr:row>
                    <xdr:rowOff>53340</xdr:rowOff>
                  </to>
                </anchor>
              </controlPr>
            </control>
          </mc:Choice>
        </mc:AlternateContent>
        <mc:AlternateContent xmlns:mc="http://schemas.openxmlformats.org/markup-compatibility/2006">
          <mc:Choice Requires="x14">
            <control shapeId="1046" r:id="rId7" name="Check Box 22">
              <controlPr locked="0" defaultSize="0" autoFill="0" autoLine="0" autoPict="0" altText="">
                <anchor moveWithCells="1">
                  <from>
                    <xdr:col>5</xdr:col>
                    <xdr:colOff>411480</xdr:colOff>
                    <xdr:row>8</xdr:row>
                    <xdr:rowOff>30480</xdr:rowOff>
                  </from>
                  <to>
                    <xdr:col>5</xdr:col>
                    <xdr:colOff>647700</xdr:colOff>
                    <xdr:row>9</xdr:row>
                    <xdr:rowOff>15240</xdr:rowOff>
                  </to>
                </anchor>
              </controlPr>
            </control>
          </mc:Choice>
        </mc:AlternateContent>
        <mc:AlternateContent xmlns:mc="http://schemas.openxmlformats.org/markup-compatibility/2006">
          <mc:Choice Requires="x14">
            <control shapeId="1049" r:id="rId8" name="QueryDropDown">
              <controlPr defaultSize="0" autoLine="0" autoPict="0">
                <anchor moveWithCells="1">
                  <from>
                    <xdr:col>5</xdr:col>
                    <xdr:colOff>22860</xdr:colOff>
                    <xdr:row>5</xdr:row>
                    <xdr:rowOff>0</xdr:rowOff>
                  </from>
                  <to>
                    <xdr:col>6</xdr:col>
                    <xdr:colOff>0</xdr:colOff>
                    <xdr:row>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20"/>
  <sheetViews>
    <sheetView workbookViewId="0">
      <selection activeCell="A2" sqref="A2"/>
    </sheetView>
  </sheetViews>
  <sheetFormatPr defaultRowHeight="14.4" x14ac:dyDescent="0.3"/>
  <cols>
    <col min="1" max="1" width="47.88671875" customWidth="1"/>
    <col min="2" max="2" width="68.109375" customWidth="1"/>
    <col min="3" max="3" width="61.44140625" customWidth="1"/>
    <col min="4" max="4" width="50.6640625" customWidth="1"/>
    <col min="5" max="5" width="42.88671875" customWidth="1"/>
  </cols>
  <sheetData>
    <row r="2" spans="1:5" ht="15" x14ac:dyDescent="0.25">
      <c r="A2" t="s">
        <v>20</v>
      </c>
      <c r="C2" t="s">
        <v>29</v>
      </c>
    </row>
    <row r="3" spans="1:5" ht="15" x14ac:dyDescent="0.25">
      <c r="A3" t="s">
        <v>19</v>
      </c>
      <c r="C3" t="s">
        <v>30</v>
      </c>
    </row>
    <row r="5" spans="1:5" ht="15" x14ac:dyDescent="0.25">
      <c r="A5" t="s">
        <v>12</v>
      </c>
    </row>
    <row r="6" spans="1:5" ht="15" x14ac:dyDescent="0.25">
      <c r="A6" t="s">
        <v>13</v>
      </c>
    </row>
    <row r="9" spans="1:5" ht="30" customHeight="1" x14ac:dyDescent="0.25">
      <c r="A9" s="5" t="s">
        <v>8</v>
      </c>
      <c r="B9" s="5" t="s">
        <v>9</v>
      </c>
      <c r="C9" s="5" t="s">
        <v>31</v>
      </c>
      <c r="D9" s="5" t="s">
        <v>24</v>
      </c>
      <c r="E9" s="5" t="s">
        <v>39</v>
      </c>
    </row>
    <row r="10" spans="1:5" ht="30" customHeight="1" x14ac:dyDescent="0.3">
      <c r="A10" s="3" t="s">
        <v>18</v>
      </c>
      <c r="B10" s="3" t="s">
        <v>11</v>
      </c>
      <c r="C10" s="3" t="s">
        <v>22</v>
      </c>
      <c r="D10" s="4" t="s">
        <v>14</v>
      </c>
      <c r="E10" s="3"/>
    </row>
    <row r="11" spans="1:5" ht="30" customHeight="1" x14ac:dyDescent="0.3">
      <c r="A11" s="3" t="s">
        <v>33</v>
      </c>
      <c r="B11" s="3" t="s">
        <v>93</v>
      </c>
      <c r="C11" s="3" t="s">
        <v>51</v>
      </c>
      <c r="D11" s="4" t="s">
        <v>4</v>
      </c>
      <c r="E11" s="10" t="s">
        <v>41</v>
      </c>
    </row>
    <row r="12" spans="1:5" ht="30" customHeight="1" x14ac:dyDescent="0.3">
      <c r="A12" s="3" t="s">
        <v>21</v>
      </c>
      <c r="B12" s="3" t="s">
        <v>101</v>
      </c>
      <c r="C12" s="3" t="s">
        <v>49</v>
      </c>
      <c r="D12" s="4" t="s">
        <v>1</v>
      </c>
      <c r="E12" s="10" t="s">
        <v>43</v>
      </c>
    </row>
    <row r="13" spans="1:5" ht="30" customHeight="1" x14ac:dyDescent="0.3">
      <c r="A13" s="3" t="s">
        <v>28</v>
      </c>
      <c r="B13" s="3" t="s">
        <v>103</v>
      </c>
      <c r="C13" s="3" t="s">
        <v>48</v>
      </c>
      <c r="D13" s="4" t="s">
        <v>2</v>
      </c>
      <c r="E13" s="10" t="s">
        <v>44</v>
      </c>
    </row>
    <row r="14" spans="1:5" ht="30" customHeight="1" x14ac:dyDescent="0.3">
      <c r="A14" s="3" t="s">
        <v>54</v>
      </c>
      <c r="B14" s="3" t="s">
        <v>100</v>
      </c>
      <c r="C14" s="3" t="s">
        <v>55</v>
      </c>
      <c r="D14" s="15" t="s">
        <v>52</v>
      </c>
      <c r="E14" s="10" t="s">
        <v>53</v>
      </c>
    </row>
    <row r="15" spans="1:5" ht="30" customHeight="1" x14ac:dyDescent="0.3">
      <c r="A15" s="3" t="s">
        <v>85</v>
      </c>
      <c r="B15" s="3" t="s">
        <v>99</v>
      </c>
      <c r="C15" s="3" t="s">
        <v>64</v>
      </c>
      <c r="D15" s="15" t="s">
        <v>62</v>
      </c>
      <c r="E15" s="10" t="s">
        <v>63</v>
      </c>
    </row>
    <row r="16" spans="1:5" ht="30" customHeight="1" x14ac:dyDescent="0.3">
      <c r="A16" s="3" t="s">
        <v>84</v>
      </c>
      <c r="B16" s="3" t="s">
        <v>94</v>
      </c>
      <c r="C16" s="3" t="s">
        <v>83</v>
      </c>
      <c r="D16" s="4" t="s">
        <v>3</v>
      </c>
      <c r="E16" s="10" t="s">
        <v>40</v>
      </c>
    </row>
    <row r="17" spans="1:5" ht="30" customHeight="1" x14ac:dyDescent="0.3">
      <c r="A17" s="3" t="s">
        <v>32</v>
      </c>
      <c r="B17" s="3" t="s">
        <v>102</v>
      </c>
      <c r="C17" s="3" t="s">
        <v>50</v>
      </c>
      <c r="D17" s="4" t="s">
        <v>0</v>
      </c>
      <c r="E17" s="10" t="s">
        <v>42</v>
      </c>
    </row>
    <row r="18" spans="1:5" ht="30" customHeight="1" x14ac:dyDescent="0.3">
      <c r="A18" s="3" t="s">
        <v>89</v>
      </c>
      <c r="B18" s="3" t="s">
        <v>95</v>
      </c>
      <c r="C18" s="9" t="s">
        <v>88</v>
      </c>
      <c r="D18" s="4" t="s">
        <v>86</v>
      </c>
      <c r="E18" s="10" t="s">
        <v>87</v>
      </c>
    </row>
    <row r="19" spans="1:5" ht="28.8" x14ac:dyDescent="0.3">
      <c r="A19" s="3" t="s">
        <v>36</v>
      </c>
      <c r="B19" s="3" t="s">
        <v>37</v>
      </c>
      <c r="C19" s="3" t="s">
        <v>38</v>
      </c>
      <c r="D19" s="16"/>
    </row>
    <row r="20" spans="1:5" ht="51" customHeight="1" x14ac:dyDescent="0.3">
      <c r="A20" s="3" t="s">
        <v>107</v>
      </c>
      <c r="B20" s="3" t="s">
        <v>26</v>
      </c>
      <c r="C20" s="2" t="s">
        <v>27</v>
      </c>
      <c r="D20" s="4" t="s">
        <v>23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4" x14ac:dyDescent="0.3"/>
  <sheetData>
    <row r="1" spans="1:1" x14ac:dyDescent="0.3">
      <c r="A1" t="s">
        <v>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4.4" x14ac:dyDescent="0.3"/>
  <cols>
    <col min="1" max="1" width="92.6640625" customWidth="1"/>
  </cols>
  <sheetData>
    <row r="1" spans="1:1" x14ac:dyDescent="0.3">
      <c r="A1" t="s">
        <v>76</v>
      </c>
    </row>
    <row r="3" spans="1:1" x14ac:dyDescent="0.3">
      <c r="A3" t="s">
        <v>77</v>
      </c>
    </row>
    <row r="4" spans="1:1" x14ac:dyDescent="0.3">
      <c r="A4" t="s">
        <v>15</v>
      </c>
    </row>
    <row r="5" spans="1:1" x14ac:dyDescent="0.3">
      <c r="A5" t="s">
        <v>16</v>
      </c>
    </row>
    <row r="6" spans="1:1" x14ac:dyDescent="0.3">
      <c r="A6" t="s">
        <v>17</v>
      </c>
    </row>
    <row r="8" spans="1:1" x14ac:dyDescent="0.3">
      <c r="A8" t="s">
        <v>10</v>
      </c>
    </row>
    <row r="9" spans="1:1" x14ac:dyDescent="0.3">
      <c r="A9" t="s">
        <v>78</v>
      </c>
    </row>
    <row r="10" spans="1:1" x14ac:dyDescent="0.3">
      <c r="A10" t="s">
        <v>79</v>
      </c>
    </row>
    <row r="11" spans="1:1" x14ac:dyDescent="0.3">
      <c r="A11" t="s">
        <v>35</v>
      </c>
    </row>
    <row r="12" spans="1:1" x14ac:dyDescent="0.3">
      <c r="A12" s="8" t="s">
        <v>56</v>
      </c>
    </row>
    <row r="13" spans="1:1" x14ac:dyDescent="0.3">
      <c r="A13" t="s">
        <v>47</v>
      </c>
    </row>
    <row r="15" spans="1:1" x14ac:dyDescent="0.3">
      <c r="A15" t="s">
        <v>80</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Main</vt:lpstr>
      <vt:lpstr>Queries</vt:lpstr>
      <vt:lpstr>Data</vt:lpstr>
      <vt:lpstr>Pivot</vt:lpstr>
      <vt:lpstr>Notes</vt:lpstr>
      <vt:lpstr>Custom_plot</vt:lpstr>
      <vt:lpstr>dbalias</vt:lpstr>
      <vt:lpstr>DBPassword</vt:lpstr>
      <vt:lpstr>EndTime</vt:lpstr>
      <vt:lpstr>ODBC_Name</vt:lpstr>
      <vt:lpstr>Oracle_ODBC</vt:lpstr>
      <vt:lpstr>QueryDropDown_Value</vt:lpstr>
      <vt:lpstr>Show_SQL</vt:lpstr>
      <vt:lpstr>StartTime</vt:lpstr>
      <vt:lpstr>UserName</vt:lpstr>
    </vt:vector>
  </TitlesOfParts>
  <Company>CERN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Luca Canali</cp:lastModifiedBy>
  <dcterms:created xsi:type="dcterms:W3CDTF">2012-10-04T14:30:11Z</dcterms:created>
  <dcterms:modified xsi:type="dcterms:W3CDTF">2015-07-16T11:56:34Z</dcterms:modified>
</cp:coreProperties>
</file>