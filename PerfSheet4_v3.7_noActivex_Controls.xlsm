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16944" windowHeight="7548"/>
  </bookViews>
  <sheets>
    <sheet name="Main" sheetId="1" r:id="rId1"/>
    <sheet name="Queries" sheetId="12" r:id="rId2"/>
    <sheet name="Data" sheetId="10" r:id="rId3"/>
    <sheet name="Pivot" sheetId="11" r:id="rId4"/>
    <sheet name="Notes" sheetId="13" r:id="rId5"/>
  </sheets>
  <definedNames>
    <definedName name="Custom_plot">Main!$C$20</definedName>
    <definedName name="dbalias">Main!$F$5</definedName>
    <definedName name="DBPassword">Main!$F$4</definedName>
    <definedName name="EndTime">Main!$F$7</definedName>
    <definedName name="ODBC_Name">Main!$F$10</definedName>
    <definedName name="Oracle_ODBC">Main!$F$9</definedName>
    <definedName name="QueryDropDown_Value">Main!$F$6</definedName>
    <definedName name="Show_SQL">Main!$C$10</definedName>
    <definedName name="StartTime">Main!$F$8</definedName>
    <definedName name="UserName">Main!$F$3</definedName>
  </definedNames>
  <calcPr calcId="145621"/>
</workbook>
</file>

<file path=xl/calcChain.xml><?xml version="1.0" encoding="utf-8"?>
<calcChain xmlns="http://schemas.openxmlformats.org/spreadsheetml/2006/main">
  <c r="F9" i="1" l="1"/>
</calcChain>
</file>

<file path=xl/comments1.xml><?xml version="1.0" encoding="utf-8"?>
<comments xmlns="http://schemas.openxmlformats.org/spreadsheetml/2006/main">
  <authors>
    <author>Luca Canali</author>
  </authors>
  <commentList>
    <comment ref="E5" authorId="0">
      <text>
        <r>
          <rPr>
            <sz val="8"/>
            <color indexed="81"/>
            <rFont val="Tahoma"/>
            <family val="2"/>
          </rPr>
          <t xml:space="preserve">Put here either a (1) db alias resolved in tnsnames.ora or in alternative an (2) EZconnect string. 
Examples:
</t>
        </r>
        <r>
          <rPr>
            <b/>
            <sz val="8"/>
            <color indexed="81"/>
            <rFont val="Tahoma"/>
            <family val="2"/>
          </rPr>
          <t xml:space="preserve">(1) ORCL
(2) db-server:1521/myservice.myorg.com
</t>
        </r>
      </text>
    </comment>
    <comment ref="E6" authorId="0">
      <text>
        <r>
          <rPr>
            <sz val="8"/>
            <color indexed="81"/>
            <rFont val="Tahoma"/>
            <family val="2"/>
          </rPr>
          <t xml:space="preserve">Select one of the pre-defined queries.
Queries can be added/customized form the "Queries" worksheet.
</t>
        </r>
      </text>
    </comment>
    <comment ref="E7" authorId="0">
      <text>
        <r>
          <rPr>
            <sz val="8"/>
            <color indexed="81"/>
            <rFont val="Tahoma"/>
            <family val="2"/>
          </rPr>
          <t>Define here the time filter that will be used when querying AWR. The default is the current time (sysdate). You can use any valid SQL time expression.</t>
        </r>
      </text>
    </comment>
    <comment ref="E8" authorId="0">
      <text>
        <r>
          <rPr>
            <sz val="8"/>
            <color indexed="81"/>
            <rFont val="Tahoma"/>
            <family val="2"/>
          </rPr>
          <t xml:space="preserve">Define here the time filter that will be used when querying AWR. The default is 1 week of data.Define here the time filter that will be used when querying AWR. The default is the current time minus 7 days  (sysdate - 7). You can use any valid SQL time expression.
</t>
        </r>
      </text>
    </comment>
    <comment ref="E9" authorId="0">
      <text>
        <r>
          <rPr>
            <sz val="8"/>
            <color indexed="81"/>
            <rFont val="Tahoma"/>
            <family val="2"/>
          </rPr>
          <t xml:space="preserve">When Oracle ODBC is set to FALSE Perfsheet4 will use the ODBC driver "Microsoft ODBC for Oracle". This is an obsolete driver but seems to work OK at least up to Windows 7 included. 
As an alternative you can use Oracle provided ODBC. This is the preferred option for Windows 8. You can download the Oracle ODBC provider for the Oracle instant client from OTN. 
</t>
        </r>
      </text>
    </comment>
    <comment ref="B10" authorId="0">
      <text>
        <r>
          <rPr>
            <sz val="8"/>
            <color indexed="81"/>
            <rFont val="Tahoma"/>
            <family val="2"/>
          </rPr>
          <t xml:space="preserve">When this is set to True, a window will pop up for review and optional editing of the SQL before execution.
</t>
        </r>
      </text>
    </comment>
    <comment ref="E10" authorId="0">
      <text>
        <r>
          <rPr>
            <sz val="8"/>
            <color indexed="81"/>
            <rFont val="Tahoma"/>
            <family val="2"/>
          </rPr>
          <t>When Oracle ODBC is set to True, edit the value of the ODBC driver name, with a valid value for an installed Oracle ODBC driver (see also the list of installed drivers in the ODBC data Source Administrator).</t>
        </r>
      </text>
    </comment>
    <comment ref="C19" authorId="0">
      <text>
        <r>
          <rPr>
            <sz val="8"/>
            <color indexed="81"/>
            <rFont val="Tahoma"/>
            <family val="2"/>
          </rPr>
          <t>Set to False when not using one of the pre-defined queries</t>
        </r>
      </text>
    </comment>
  </commentList>
</comments>
</file>

<file path=xl/sharedStrings.xml><?xml version="1.0" encoding="utf-8"?>
<sst xmlns="http://schemas.openxmlformats.org/spreadsheetml/2006/main" count="109" uniqueCount="109">
  <si>
    <t>Perfsheet4_query_AWR_service_stat.sql</t>
  </si>
  <si>
    <t>Perfsheet4_query_AWR_sysstat.sql</t>
  </si>
  <si>
    <t>Perfsheet4_query_AWR_system_event.sql</t>
  </si>
  <si>
    <t>Perfsheet4_query_AWR_ioevent_histogram.sql</t>
  </si>
  <si>
    <t>Perfsheet4_query_AWR_sysmetric.sql</t>
  </si>
  <si>
    <t>Username:</t>
  </si>
  <si>
    <t>Password:</t>
  </si>
  <si>
    <t>Show SQL:</t>
  </si>
  <si>
    <t>Query name:</t>
  </si>
  <si>
    <t>Comment:</t>
  </si>
  <si>
    <t xml:space="preserve">Notes: </t>
  </si>
  <si>
    <t>Use these settings in sql*plus to generate  csv (comma separated values) output.</t>
  </si>
  <si>
    <t>An alternative method to load data into perfsheet is to run the query in sql*plus and generate a csv file</t>
  </si>
  <si>
    <t>See below some details on the settings that can be used to generate csv output with sql*plus</t>
  </si>
  <si>
    <t>Perfsheet4_definitions.sql</t>
  </si>
  <si>
    <t xml:space="preserve">Custom queries can be added to the tool from the "Queries" worksheet </t>
  </si>
  <si>
    <t>Use ATL-F11 to display and edit the VBA code</t>
  </si>
  <si>
    <t>If you make improvements and want to share them, please let us know!</t>
  </si>
  <si>
    <t>Sql*plus settings for csv</t>
  </si>
  <si>
    <t>You can add queries to Perfsheet4 by adding them here, they will appear in the dropdown menu in !Main:F9</t>
  </si>
  <si>
    <t>This is where the queries for Perfsheet4 are stored. See the Main worksheer for the actual program</t>
  </si>
  <si>
    <t>System statistics (dba_hist_sysstat)</t>
  </si>
  <si>
    <t>set termout off
set verify off
set arraysize 1000
set pages 50000
set underline off
set trimspool on
set echo off
set lines 1000
set colsep ','
-- set the date format, different countrries have different defaults, please edit here
alter session set nls_date_format='yy_mm_dd hh24:mi';</t>
  </si>
  <si>
    <t>…</t>
  </si>
  <si>
    <t>Script name (optional):</t>
  </si>
  <si>
    <t>Query :</t>
  </si>
  <si>
    <t>You can add a custom query description here</t>
  </si>
  <si>
    <t>add your custom query text here</t>
  </si>
  <si>
    <t>Wait events (dba_hist_system_event)</t>
  </si>
  <si>
    <t xml:space="preserve">Comment: Queries in SQL text use "&amp;delta_time_where_clause" to specify a time range </t>
  </si>
  <si>
    <t>The VBA code replaces that with the content of the cell Worksheets("Main").[TimeRange_Filter]</t>
  </si>
  <si>
    <t>SQL text:</t>
  </si>
  <si>
    <t>Stats per service (dba_hist_service_stat)</t>
  </si>
  <si>
    <t>Workload data (dba_hist_sysmetric_summary)</t>
  </si>
  <si>
    <t>Use pre-defined graphs:</t>
  </si>
  <si>
    <t>Display AWR configuration: select * from DBA_HIST_WR_CONTROL;</t>
  </si>
  <si>
    <t>Placeholder query</t>
  </si>
  <si>
    <t>Dummy query to be used if you want to edit your own SQL</t>
  </si>
  <si>
    <t>select sysdate from dual --place your query instead of this placehoser SQL statement</t>
  </si>
  <si>
    <t>Add query name and details in this line. You would also need to edit the ListFillRange property of drop-down control for query selection, see Main worksheet, cell F9</t>
  </si>
  <si>
    <t>Data export name template:</t>
  </si>
  <si>
    <t>Perfsheet4_AWR_ioevent_histogram</t>
  </si>
  <si>
    <t>Perfsheet4_AWR_sysmetric</t>
  </si>
  <si>
    <t>Perfsheet4_AWR_service_stat</t>
  </si>
  <si>
    <t>Perfsheet4_AWR_sysstat</t>
  </si>
  <si>
    <t>Perfsheet4_AWR_system_event</t>
  </si>
  <si>
    <t>system</t>
  </si>
  <si>
    <t>ORCL</t>
  </si>
  <si>
    <t>EXEC DBMS_WORKLOAD_REPOSITORY.MODIFY_SNAPSHOT_SETTINGS(interval =&gt; 60,retention =&gt; 40320)</t>
  </si>
  <si>
    <t>select cast(min(sn.begin_interval_time) over (partition by sn.dbid,sn.snap_id) as date) snap_time,  --workaround to uniform snap_time over all instances in RAC
 --ss.dbid,  --uncomment if you have multiple dbid in your AWR
 sn.instance_number,
    ss.event_name,
 ss.wait_class,
 ss.total_waits,
    ss.time_waited_micro,
 ss.total_waits - lag(ss.total_waits) over (partition by ss.dbid,ss.instance_number,ss.event_id order by sn.snap_id nulls first) Delta_waits,
 ss.time_waited_micro - lag(ss.time_waited_micro) over (partition by ss.dbid,ss.instance_number,ss.event_id order by sn.snap_id nulls first) Delta_timewaited,
 round((ss.total_waits - lag(ss.total_waits)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Waits_per_sec,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round((ss.time_waited_micro - lag(ss.time_waited_micro) over (partition by ss.dbid,ss.instance_number,ss.event_id order by sn.snap_id nulls first)) /
           nullif(ss.total_waits - lag(ss.total_waits) over (partition by ss.dbid,ss.instance_number,ss.event_id order by sn.snap_id nulls first),0),2) Avg_wait_time_micro
from dba_hist_system_event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</si>
  <si>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ss.stat_name,
 ss.value,
 ss.value - lag(ss.value) over (partition by ss.dbid,ss.instance_number,ss.stat_id order by sn.snap_id nulls first) Delta_value,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Rate_value
from dba_hist_sysstat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</si>
  <si>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ss.service_name,
 ss.stat_name,
 ss.value,
 ss.value - lag(ss.value) over (partition by ss.dbid,ss.instance_number,ss.stat_id,ss.service_name order by sn.snap_id nulls first) Delta_value,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 DeltaT_sec,
 round((ss.value - lag(ss.value) over (partition by ss.dbid,ss.instance_number,ss.stat_id,ss.service_name order by sn.snap_id nulls first)) /
       (extract(hour from END_INTERVAL_TIME-begin_interval_time)*3600
              -extract(hour from sn.snap_timezone - lag(sn.snap_timezone) over (partition by ss.dbid,ss.instance_number,ss.stat_id,ss.service_name order by sn.snap_id nulls first) )*3600 --deals with daylight savings time change
              + extract(minute from END_INTERVAL_TIME-begin_interval_time)* 60
              + extract(second from END_INTERVAL_TIME-begin_interval_time)),2 ) Rate_value
from dba_hist_service_stat ss,
     dba_hist_snapshot sn
where
    sn.snap_id = ss.snap_id
and sn.dbid = ss.dbid
and sn.instance_number = ss.instance_number
and sn.begin_interval_time &amp;delta_time_where_clause
order by sn.snap_id</t>
  </si>
  <si>
    <t>select cast(min(sn.begin_interval_time) over (partition by sn.dbid,sn.snap_id) as date) snap_time,  --workaround to uniform snap_time over all instances in RAC
--ss.dbid,  --uncomment if you have multiple dbid in your AWR
 sn.instance_number,
 ss.metric_name||' - '||ss.metric_unit metric_name_unit,
 ss.maxval,
 ss.average,
 ss.standard_deviation
from dba_hist_sysmetric_summary ss,
     dba_hist_snapshot sn
where
  sn.snap_id = ss.snap_id
 and sn.dbid = ss.dbid
 and sn.instance_number = ss.instance_number
 and sn.begin_interval_time &amp;delta_time_where_clause
order by sn.snap_id</t>
  </si>
  <si>
    <t>Perfsheet4_query_AWR_Waitclass_and_CPU.sql</t>
  </si>
  <si>
    <t>Perfsheet4_AWR_Waitclass_and_CPU</t>
  </si>
  <si>
    <t>Wait events per class (dba_hist_system_event)</t>
  </si>
  <si>
    <t>select snap_time, snap_id, instance_number, Wait_class, sum(Rate_timewaited) Rate_timewaited_per_Class 
from (
     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Wait_class
    from dba_hist_system_event ss,
       dba_hist_snapshot sn
    where
       sn.snap_id = ss.snap_id
       and sn.dbid = ss.dbid
       and sn.instance_number = ss.instance_number
       and sn.begin_interval_time &amp;delta_time_where_clause
       and wait_class &lt;&gt;'Idle'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'CPU' Wait_class      
    from dba_hist_sysstat ss,
       dba_hist_snapshot sn
    where
       sn.snap_id = ss.snap_id
       and sn.dbid = ss.dbid
       and sn.instance_number = ss.instance_number
       and sn.begin_interval_time &amp;delta_time_where_clause
       and ss.stat_name='CPU used by this session' -- I don't believe I need to add 'recursive cpu usage' and 'parse time cpu', at least not in 11gR2
) group by snap_time, snap_id, instance_number, Wait_class</t>
  </si>
  <si>
    <t xml:space="preserve">Change AWR snapshot interval and retention if needed. Example: </t>
  </si>
  <si>
    <t>Step 1: Load data into Excel</t>
  </si>
  <si>
    <t>Step 2: Plot data</t>
  </si>
  <si>
    <t>NODATA</t>
  </si>
  <si>
    <t xml:space="preserve">http://www.youtube.com/watch?v=kC0EJCLZWIw </t>
  </si>
  <si>
    <t>Getting started video:</t>
  </si>
  <si>
    <t>Perfsheet4_query_AWR_iostat_detail.sql</t>
  </si>
  <si>
    <t>Perfsheet4_AWR_iostat_detail</t>
  </si>
  <si>
    <t>select cast(min(sn.begin_interval_time) over (partition by sn.dbid,sn.snap_id) as date) snap_time,  --workaround to uniform snap_time over all instances in RAC
 --ss.dbid,  --uncomment if you have multiple dbid in your AWR
 sn.instance_number,
 io.function_name,
 io.filetype_name,
    round((io.small_read_reqs - lag(io.small_read_reqs)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Rate_small_read_reqs,
    round((io.large_read_megabytes - lag(io.large_read_megabytes)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Rate_large_read_megabytes,
    round((io.small_write_reqs - lag(io.small_write_reqs)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Rate_small_write_reqs,
    round((io.large_write_megabytes - lag(io.large_write_megabytes)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Rate_large_write_megabytes,
    round((io.wait_time - lag(io.wait_time) over (partition by io.dbid,io.instance_number,io.function_name,io.filetype_name order by sn.snap_id nulls first)) /
              (extract(hour from END_INTERVAL_TIME-begin_interval_time)*3600
              -extract(hour from sn.snap_timezone - lag(sn.snap_timezone) over (partition by io.dbid,io.instance_number,io.function_name,io.filetype_name order by sn.snap_id nulls first) )*3600 
              --deals with daylight savings time change
              + extract(minute from END_INTERVAL_TIME-begin_interval_time)* 60
              + extract(second from END_INTERVAL_TIME-begin_interval_time)),2 ) Rate_wait_time
from dba_hist_iostat_detail io,
     dba_hist_snapshot sn
where
  sn.snap_id = io.snap_id
 and sn.dbid = io.dbid
 and sn.instance_number = io.instance_number
 and sn.begin_interval_time &amp;delta_time_where_clause
order by sn.snap_id</t>
  </si>
  <si>
    <t>sysdate</t>
  </si>
  <si>
    <t>sysdate - 7</t>
  </si>
  <si>
    <t>Oracle ODBC</t>
  </si>
  <si>
    <t>ODBC name</t>
  </si>
  <si>
    <t>End time</t>
  </si>
  <si>
    <t>Start time</t>
  </si>
  <si>
    <t>Basic usage:</t>
  </si>
  <si>
    <t>Oracle in instantclient_11_2</t>
  </si>
  <si>
    <t>Edit database credentials and select the query to run</t>
  </si>
  <si>
    <t xml:space="preserve">Load and save AWR data from/to local csv files. </t>
  </si>
  <si>
    <t>Query AWR into csv: see the sqlplus_scripts directory</t>
  </si>
  <si>
    <t>Additional notes about Perfsheet4</t>
  </si>
  <si>
    <t>How to customize:</t>
  </si>
  <si>
    <t>PerfSheet4 is made available for free in the context of knowledge sharing. Use at your own risk.</t>
  </si>
  <si>
    <t>Please note that Oracle licensing requires the diagnostic pack option to query AWR</t>
  </si>
  <si>
    <r>
      <t>Latest version:</t>
    </r>
    <r>
      <rPr>
        <b/>
        <sz val="11"/>
        <color theme="1"/>
        <rFont val="Calibri"/>
        <family val="2"/>
        <scheme val="minor"/>
      </rPr>
      <t xml:space="preserve"> http://cern.ch/canali</t>
    </r>
  </si>
  <si>
    <t>Perfsheet4 is a tool for Oracle performance analysis</t>
  </si>
  <si>
    <t>It provides a simplified interface to extract and visualize AWR data using Excel pivot charts</t>
  </si>
  <si>
    <t>select cast(min(sn.begin_interval_time) over (partition by sn.dbid,sn.snap_id) as date) snap_time,  --workaround to uniform snap_time over all instances in RAC
 --eh.dbid,  --uncomment if you have multiple dbid in your AWR
 sn.instance_number,
 eh.event_name,
 eh.wait_time_milli,
 --eh.wait_count,
 eh.wait_count - lag(eh.wait_count) over (partition by eh.dbid,eh.instance_number,eh.event_id,eh.wait_time_milli order by sn.snap_id nulls first) Delta_wait_count,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Rate_wait_count_per_bin,
        0.75 * eh.wait_time_milli * round((eh.wait_count - lag(eh.wait_count) over (partition by eh.dbid,eh.instance_number,eh.event_id,eh.wait_time_milli order by sn.snap_id nulls first)) /
          (extract(hour from END_INTERVAL_TIME-begin_interval_time)*3600
              -extract(hour from sn.snap_timezone - lag(sn.snap_timezone) over 
              (partition by eh.dbid,eh.instance_number,eh.event_id,eh.wait_time_milli order by sn.snap_id nulls first) )*3600  --deals with daylight savings time change
              + extract(minute from END_INTERVAL_TIME-begin_interval_time)* 60
              + extract(second from END_INTERVAL_TIME-begin_interval_time)),2 ) Rate_wait_time_per_bin
from dba_hist_event_histogram eh,
     dba_hist_snapshot sn
where
    sn.snap_id = eh.snap_id
and sn.dbid = eh.dbid
and sn.instance_number = eh.instance_number
and sn.begin_interval_time &amp;delta_time_where_clause
and eh.wait_class in ('User I/O','System I/O','Commit')  -- need to limit search or dump file can grow too big
order by sn.snap_id</t>
  </si>
  <si>
    <t>Authors: Luca.Canali@cern.ch, from the original concept by Tanel@TanelPoder.com</t>
  </si>
  <si>
    <t>IO wait histograms (dba_hist_event_histogram)</t>
  </si>
  <si>
    <t>IO stats details (dba_hist_iostat_detail)</t>
  </si>
  <si>
    <t>Perfsheet4_query_AWR_top3_waitevent_and_CPU.sql</t>
  </si>
  <si>
    <t>Perfsheet4_AWR_top3_waitevent_and_CPU</t>
  </si>
  <si>
    <t>select cast(min(sn.begin_interval_time) over (partition by sn.dbid,sn.snap_id) as date) snap_time,  --workaround to uniform snap_time over all instances in RAC
    sn.snap_id,
      sn.instance_number,
       ss.event_name,
       round((ss.time_waited_micro - lag(ss.time_waited_micro) over (partition by ss.dbid,ss.instance_number,ss.event_id order by sn.snap_id nulls first)) /
       (extract(hour from END_INTERVAL_TIME-begin_interval_time)*3600
              -extract(hour from sn.snap_timezone - lag(sn.snap_timezone) over (partition by ss.dbid,ss.instance_number,ss.event_id order by sn.snap_id nulls first) )*3600 --deals with daylight savings time change
              + extract(minute from END_INTERVAL_TIME-begin_interval_time)* 60
              + extract(second from END_INTERVAL_TIME-begin_interval_time)),2 ) Rate_timewaited  -- time_waited_microsec/clock_time_sec summed over instances
from   dba_hist_system_event ss,
       dba_hist_snapshot sn,
       ( select ss.dbid,ss.instance_number,ss.event_id,
              rank() over (partition by ss.dbid,ss.instance_number order by max(ss.time_waited_micro)-min(ss.time_waited_micro) desc) Waited_time_rank
       from dba_hist_system_event ss,
            dba_hist_snapshot sn
       where
            sn.snap_id = ss.snap_id
            and sn.dbid = ss.dbid
            and sn.instance_number = ss.instance_number
            and sn.begin_interval_time &amp;delta_time_where_clause
            and wait_class &lt;&gt;'Idle'
       group by ss.dbid,ss.instance_number,ss.event_id
       ) rw  -- this represents the ranked wait events by wait time
where
       sn.snap_id = ss.snap_id
       and sn.dbid = ss.dbid
       and sn.instance_number = ss.instance_number
       and sn.begin_interval_time &amp;delta_time_where_clause
       and rw.dbid = ss.dbid
       and rw.instance_number = ss.instance_number
       and rw.event_id = ss.event_id
       and rw.Waited_time_rank&lt;=3       -- top 3 wait events
union all  -- above is the calculation of wait events below is the calculation of CPU usage
select cast(min(sn.begin_interval_time) over (partition by sn.dbid,sn.snap_id) as date) snap_time,  --workaround to uniform snap_time over all instances in RAC
       sn.snap_id,
       sn.instance_number,
       ss.stat_name event_name,
       10000* round((ss.value - lag(ss.value) over (partition by ss.dbid,ss.instance_number,ss.stat_id order by sn.snap_id nulls first)) /
              (extract(hour from END_INTERVAL_TIME-begin_interval_time)*3600
              -extract(hour from sn.snap_timezone - lag(sn.snap_timezone) over (partition by ss.dbid,ss.instance_number,ss.stat_id order by sn.snap_id nulls first) )*3600 --deals with daylight savings time change
              + extract(minute from END_INTERVAL_TIME-begin_interval_time)* 60
              + extract(second from END_INTERVAL_TIME-begin_interval_time)),2 ) Rate_timewaited  -- rate CPU /elapsed time, converted to same units as wait events above
from dba_hist_sysstat ss,
     dba_hist_snapshot sn
where
sn.snap_id = ss.snap_id
and sn.dbid = ss.dbid
and sn.instance_number = ss.instance_number
and sn.begin_interval_time &amp;delta_time_where_clause
and ss.stat_name='CPU used by this session'</t>
  </si>
  <si>
    <t>Top 3 wait events and CPU (dba_hist_system_event)</t>
  </si>
  <si>
    <t>Target DB:</t>
  </si>
  <si>
    <t xml:space="preserve">      Additional credits: DB_Group@CERN, Rhojel Echano, Hans-Peter Sloot, Wellington Prado</t>
  </si>
  <si>
    <t>The "Query AWR" function needs a Oracle (instant) client. Note also Oracle licensing for AWR</t>
  </si>
  <si>
    <t>Extracts data from dba_hist_sysmetric_summary. System metrics provide details on the usage of system resources over time.</t>
  </si>
  <si>
    <t>Extracts data from dba_hist_event_histogram for I/O related events. This provide drill-down information on latency. The query computes delta values between snapshots and rates (i.e. delta values divided over delta time).</t>
  </si>
  <si>
    <t>Extracts data from dba_hist_system_event and dba_hist_sysstat. This query selects the top 3 non-idle wait events and the CPU usage for each instance. It computes delta values and rates (delta value over delta time).</t>
  </si>
  <si>
    <t>Fetch AWR data into Excel: click on Run under "Query AWR"</t>
  </si>
  <si>
    <t>Alternative: load AWR data from local csv files</t>
  </si>
  <si>
    <t>Click on the "Plot" icon to generate Pivot Charts of the AWR data</t>
  </si>
  <si>
    <t>Extracts data from dba_hist_iostat_detail. This provides details on the I/O operations performed by Oracle, computes delta values and rates (delta value over delta time) aggregating over function and filetype.</t>
  </si>
  <si>
    <t>Extracts data from dba_hist_system_event.  This provides information on all the wait events, computes delta values and rates (delta value over delta time) aggregating over wait class.</t>
  </si>
  <si>
    <t>Extracts data from dba_hist_sysstat. Hundreds of system statistics provide valuable details on the workload. The query computes delta values between snapshots and rates (that is delta values divided over delta time).</t>
  </si>
  <si>
    <t>Extracts data from dba_hist_service_stat, computes delta values between snapshots and rates (i.e. delta values divided over delta time) aggregating by service name.</t>
  </si>
  <si>
    <t>Extracts data from dba_hist_system_event. This provides information on all the wait events. The query computes delta values between snapshots and rates (i.e. delta values divided over delta time).</t>
  </si>
  <si>
    <t>Version: 3.7 modified to exclude Activex controls, February 2015.</t>
  </si>
  <si>
    <t>Use with Oracle versions 11.2.0.x and 12.1.0.x. Tested on Excel 2010 or 2013 on Win7/8.1</t>
  </si>
  <si>
    <t>manager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</si>
</sst>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8" x14ac:knownFonts="1">
    <font>
      <sz val="11"/>
      <color theme="1"/>
      <name val="Calibri"/>
      <family val="2"/>
      <scheme val="minor"/>
    </font>
    <font>
      <i/>
      <sz val="11"/>
      <color theme="1"/>
      <name val="Calibri"/>
      <family val="2"/>
      <scheme val="minor"/>
    </font>
    <font>
      <b/>
      <sz val="11"/>
      <color theme="1"/>
      <name val="Calibri"/>
      <family val="2"/>
      <scheme val="minor"/>
    </font>
    <font>
      <b/>
      <sz val="16"/>
      <color theme="1"/>
      <name val="Calibri"/>
      <family val="2"/>
      <scheme val="minor"/>
    </font>
    <font>
      <b/>
      <sz val="8"/>
      <color indexed="81"/>
      <name val="Tahoma"/>
      <family val="2"/>
    </font>
    <font>
      <sz val="8"/>
      <color indexed="81"/>
      <name val="Tahoma"/>
      <family val="2"/>
    </font>
    <font>
      <u/>
      <sz val="11"/>
      <color theme="10"/>
      <name val="Calibri"/>
      <family val="2"/>
      <scheme val="minor"/>
    </font>
    <font>
      <b/>
      <sz val="11"/>
      <color rgb="FFFF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0" fontId="2" fillId="0" borderId="0" xfId="0" applyFont="1"/>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xf>
    <xf numFmtId="0" fontId="3" fillId="0" borderId="0" xfId="0" applyFont="1" applyAlignment="1">
      <alignment horizontal="left" vertical="top"/>
    </xf>
    <xf numFmtId="0" fontId="0" fillId="0" borderId="0" xfId="0" applyAlignment="1">
      <alignment horizontal="left"/>
    </xf>
    <xf numFmtId="49" fontId="0" fillId="0" borderId="0" xfId="0" applyNumberFormat="1"/>
    <xf numFmtId="0" fontId="0" fillId="0" borderId="0" xfId="0" applyAlignment="1"/>
    <xf numFmtId="0" fontId="0" fillId="0" borderId="0" xfId="0" applyAlignment="1">
      <alignment wrapText="1"/>
    </xf>
    <xf numFmtId="0" fontId="0" fillId="0" borderId="0" xfId="0" applyFont="1" applyAlignment="1">
      <alignment horizontal="left" vertical="top"/>
    </xf>
    <xf numFmtId="0" fontId="0" fillId="0" borderId="0" xfId="0" applyFont="1" applyAlignment="1">
      <alignment horizontal="left" indent="2"/>
    </xf>
    <xf numFmtId="0" fontId="0" fillId="0" borderId="0" xfId="0" applyAlignment="1">
      <alignment horizontal="left" indent="2"/>
    </xf>
    <xf numFmtId="0" fontId="2" fillId="0" borderId="0" xfId="0" applyFont="1" applyAlignment="1">
      <alignment horizontal="left"/>
    </xf>
    <xf numFmtId="0" fontId="6" fillId="0" borderId="0" xfId="1" applyAlignment="1">
      <alignment horizontal="left" indent="2"/>
    </xf>
    <xf numFmtId="0" fontId="1" fillId="0" borderId="0" xfId="0" applyFont="1" applyAlignment="1">
      <alignment vertical="top"/>
    </xf>
    <xf numFmtId="0" fontId="0" fillId="0" borderId="0" xfId="0" applyAlignment="1">
      <alignment vertical="top"/>
    </xf>
    <xf numFmtId="49" fontId="0" fillId="0" borderId="0" xfId="0" applyNumberFormat="1" applyAlignment="1">
      <alignment horizontal="left"/>
    </xf>
    <xf numFmtId="0" fontId="0" fillId="0" borderId="0" xfId="0" applyNumberFormat="1"/>
    <xf numFmtId="0" fontId="0" fillId="0" borderId="0" xfId="0"/>
    <xf numFmtId="0" fontId="7" fillId="0" borderId="0" xfId="0" applyFont="1"/>
    <xf numFmtId="164" fontId="0" fillId="0" borderId="0" xfId="0" applyNumberFormat="1"/>
  </cellXfs>
  <cellStyles count="2">
    <cellStyle name="Hyperlink" xfId="1" builtinId="8"/>
    <cellStyle name="Normal" xfId="0" builtinId="0"/>
  </cellStyles>
  <dxfs count="1">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C$20" noThreeD="1"/>
</file>

<file path=xl/ctrlProps/ctrlProp2.xml><?xml version="1.0" encoding="utf-8"?>
<formControlPr xmlns="http://schemas.microsoft.com/office/spreadsheetml/2009/9/main" objectType="CheckBox" checked="Checked" fmlaLink="C10" noThreeD="1"/>
</file>

<file path=xl/ctrlProps/ctrlProp3.xml><?xml version="1.0" encoding="utf-8"?>
<formControlPr xmlns="http://schemas.microsoft.com/office/spreadsheetml/2009/9/main" objectType="CheckBox" fmlaLink="$F$9" noThreeD="1"/>
</file>

<file path=xl/ctrlProps/ctrlProp4.xml><?xml version="1.0" encoding="utf-8"?>
<formControlPr xmlns="http://schemas.microsoft.com/office/spreadsheetml/2009/9/main" objectType="Drop" dropStyle="combo" dx="20" fmlaLink="$F$6" fmlaRange="Queries!$A$11:$A$18" noThreeD="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98244</xdr:colOff>
      <xdr:row>1</xdr:row>
      <xdr:rowOff>140970</xdr:rowOff>
    </xdr:from>
    <xdr:to>
      <xdr:col>3</xdr:col>
      <xdr:colOff>424542</xdr:colOff>
      <xdr:row>3</xdr:row>
      <xdr:rowOff>114300</xdr:rowOff>
    </xdr:to>
    <xdr:sp macro="" textlink="">
      <xdr:nvSpPr>
        <xdr:cNvPr id="10" name="TextBox 9"/>
        <xdr:cNvSpPr txBox="1"/>
      </xdr:nvSpPr>
      <xdr:spPr>
        <a:xfrm>
          <a:off x="550001" y="375013"/>
          <a:ext cx="1621698" cy="4414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Query AWR</a:t>
          </a:r>
        </a:p>
        <a:p>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419100</xdr:colOff>
          <xdr:row>18</xdr:row>
          <xdr:rowOff>190500</xdr:rowOff>
        </xdr:from>
        <xdr:to>
          <xdr:col>3</xdr:col>
          <xdr:colOff>53340</xdr:colOff>
          <xdr:row>20</xdr:row>
          <xdr:rowOff>60960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fLocksWithSheet="0"/>
      </xdr:twoCellAnchor>
    </mc:Choice>
    <mc:Fallback/>
  </mc:AlternateContent>
  <xdr:twoCellAnchor>
    <xdr:from>
      <xdr:col>1</xdr:col>
      <xdr:colOff>527685</xdr:colOff>
      <xdr:row>10</xdr:row>
      <xdr:rowOff>177709</xdr:rowOff>
    </xdr:from>
    <xdr:to>
      <xdr:col>2</xdr:col>
      <xdr:colOff>510540</xdr:colOff>
      <xdr:row>12</xdr:row>
      <xdr:rowOff>57695</xdr:rowOff>
    </xdr:to>
    <xdr:sp macro="" textlink="">
      <xdr:nvSpPr>
        <xdr:cNvPr id="14" name="TextBox 13"/>
        <xdr:cNvSpPr txBox="1"/>
      </xdr:nvSpPr>
      <xdr:spPr>
        <a:xfrm>
          <a:off x="1030605" y="2539909"/>
          <a:ext cx="653415"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Plot</a:t>
          </a:r>
          <a:endParaRPr lang="en-GB" sz="1100" baseline="0"/>
        </a:p>
      </xdr:txBody>
    </xdr:sp>
    <xdr:clientData/>
  </xdr:twoCellAnchor>
  <xdr:twoCellAnchor>
    <xdr:from>
      <xdr:col>5</xdr:col>
      <xdr:colOff>268877</xdr:colOff>
      <xdr:row>10</xdr:row>
      <xdr:rowOff>167094</xdr:rowOff>
    </xdr:from>
    <xdr:to>
      <xdr:col>5</xdr:col>
      <xdr:colOff>1169126</xdr:colOff>
      <xdr:row>12</xdr:row>
      <xdr:rowOff>167096</xdr:rowOff>
    </xdr:to>
    <xdr:sp macro="" textlink="">
      <xdr:nvSpPr>
        <xdr:cNvPr id="16" name="TextBox 15"/>
        <xdr:cNvSpPr txBox="1"/>
      </xdr:nvSpPr>
      <xdr:spPr>
        <a:xfrm>
          <a:off x="3385457" y="2529294"/>
          <a:ext cx="900249"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Load</a:t>
          </a:r>
          <a:endParaRPr lang="en-GB" sz="1100" baseline="0"/>
        </a:p>
      </xdr:txBody>
    </xdr:sp>
    <xdr:clientData/>
  </xdr:twoCellAnchor>
  <mc:AlternateContent xmlns:mc="http://schemas.openxmlformats.org/markup-compatibility/2006">
    <mc:Choice xmlns:a14="http://schemas.microsoft.com/office/drawing/2010/main" Requires="a14">
      <xdr:twoCellAnchor editAs="oneCell">
        <xdr:from>
          <xdr:col>2</xdr:col>
          <xdr:colOff>449580</xdr:colOff>
          <xdr:row>9</xdr:row>
          <xdr:rowOff>0</xdr:rowOff>
        </xdr:from>
        <xdr:to>
          <xdr:col>3</xdr:col>
          <xdr:colOff>45720</xdr:colOff>
          <xdr:row>10</xdr:row>
          <xdr:rowOff>53340</xdr:rowOff>
        </xdr:to>
        <xdr:sp macro="" textlink="">
          <xdr:nvSpPr>
            <xdr:cNvPr id="1028" name="Check Box 4" hidden="1">
              <a:extLst>
                <a:ext uri="{63B3BB69-23CF-44E3-9099-C40C66FF867C}">
                  <a14:compatExt spid="_x0000_s1028"/>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84909</xdr:colOff>
      <xdr:row>12</xdr:row>
      <xdr:rowOff>180160</xdr:rowOff>
    </xdr:from>
    <xdr:to>
      <xdr:col>5</xdr:col>
      <xdr:colOff>1228998</xdr:colOff>
      <xdr:row>17</xdr:row>
      <xdr:rowOff>102548</xdr:rowOff>
    </xdr:to>
    <xdr:pic macro="[0]!Button_Load_data_Click">
      <xdr:nvPicPr>
        <xdr:cNvPr id="26" name="il_fi" descr="http://www.richardmilnerdesign.com/wp-content/uploads/2010/09/file_icon.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6452" y="2988674"/>
          <a:ext cx="1144089" cy="1092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1793964</xdr:colOff>
      <xdr:row>10</xdr:row>
      <xdr:rowOff>159201</xdr:rowOff>
    </xdr:from>
    <xdr:to>
      <xdr:col>5</xdr:col>
      <xdr:colOff>2487385</xdr:colOff>
      <xdr:row>12</xdr:row>
      <xdr:rowOff>159203</xdr:rowOff>
    </xdr:to>
    <xdr:sp macro="" textlink="">
      <xdr:nvSpPr>
        <xdr:cNvPr id="27" name="TextBox 26"/>
        <xdr:cNvSpPr txBox="1"/>
      </xdr:nvSpPr>
      <xdr:spPr>
        <a:xfrm>
          <a:off x="4910544" y="2521401"/>
          <a:ext cx="693421" cy="4724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latin typeface="Times New Roman" pitchFamily="18" charset="0"/>
              <a:cs typeface="Times New Roman" pitchFamily="18" charset="0"/>
            </a:rPr>
            <a:t>Save</a:t>
          </a:r>
          <a:endParaRPr lang="en-GB" sz="1100" baseline="0"/>
        </a:p>
      </xdr:txBody>
    </xdr:sp>
    <xdr:clientData/>
  </xdr:twoCellAnchor>
  <xdr:twoCellAnchor>
    <xdr:from>
      <xdr:col>1</xdr:col>
      <xdr:colOff>281940</xdr:colOff>
      <xdr:row>12</xdr:row>
      <xdr:rowOff>168596</xdr:rowOff>
    </xdr:from>
    <xdr:to>
      <xdr:col>3</xdr:col>
      <xdr:colOff>219243</xdr:colOff>
      <xdr:row>17</xdr:row>
      <xdr:rowOff>92660</xdr:rowOff>
    </xdr:to>
    <xdr:pic macro="[0]!Button_Graph_Click">
      <xdr:nvPicPr>
        <xdr:cNvPr id="15" name="Picture 14" descr="http://icons.iconarchive.com/icons/oxygen-icons.org/oxygen/256/Actions-office-chart-line-stacked-icon.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84860" y="3003236"/>
          <a:ext cx="1232703" cy="1105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1546315</xdr:colOff>
      <xdr:row>12</xdr:row>
      <xdr:rowOff>169546</xdr:rowOff>
    </xdr:from>
    <xdr:to>
      <xdr:col>5</xdr:col>
      <xdr:colOff>2708364</xdr:colOff>
      <xdr:row>17</xdr:row>
      <xdr:rowOff>142548</xdr:rowOff>
    </xdr:to>
    <xdr:pic macro="[0]!Button_Export_CSV_Click">
      <xdr:nvPicPr>
        <xdr:cNvPr id="23" name="il_fi" descr="http://images.all-free-download.com/images/graphiclarge/green_globe_save_603.jp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7858" y="2978060"/>
          <a:ext cx="1162049" cy="1143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223158</xdr:colOff>
      <xdr:row>0</xdr:row>
      <xdr:rowOff>120018</xdr:rowOff>
    </xdr:from>
    <xdr:to>
      <xdr:col>6</xdr:col>
      <xdr:colOff>169986</xdr:colOff>
      <xdr:row>20</xdr:row>
      <xdr:rowOff>106680</xdr:rowOff>
    </xdr:to>
    <xdr:sp macro="" textlink="">
      <xdr:nvSpPr>
        <xdr:cNvPr id="5" name="Rounded Rectangle 4"/>
        <xdr:cNvSpPr/>
      </xdr:nvSpPr>
      <xdr:spPr>
        <a:xfrm>
          <a:off x="223158" y="120018"/>
          <a:ext cx="6146242" cy="466751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238398</xdr:colOff>
      <xdr:row>10</xdr:row>
      <xdr:rowOff>113349</xdr:rowOff>
    </xdr:from>
    <xdr:to>
      <xdr:col>6</xdr:col>
      <xdr:colOff>185226</xdr:colOff>
      <xdr:row>10</xdr:row>
      <xdr:rowOff>113349</xdr:rowOff>
    </xdr:to>
    <xdr:cxnSp macro="">
      <xdr:nvCxnSpPr>
        <xdr:cNvPr id="17" name="Straight Connector 16"/>
        <xdr:cNvCxnSpPr/>
      </xdr:nvCxnSpPr>
      <xdr:spPr>
        <a:xfrm>
          <a:off x="238398" y="2475549"/>
          <a:ext cx="6195228"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276225</xdr:colOff>
      <xdr:row>3</xdr:row>
      <xdr:rowOff>95250</xdr:rowOff>
    </xdr:from>
    <xdr:to>
      <xdr:col>3</xdr:col>
      <xdr:colOff>190500</xdr:colOff>
      <xdr:row>9</xdr:row>
      <xdr:rowOff>57150</xdr:rowOff>
    </xdr:to>
    <xdr:grpSp>
      <xdr:nvGrpSpPr>
        <xdr:cNvPr id="3" name="Group 2"/>
        <xdr:cNvGrpSpPr/>
      </xdr:nvGrpSpPr>
      <xdr:grpSpPr>
        <a:xfrm>
          <a:off x="779145" y="803910"/>
          <a:ext cx="1209675" cy="1379220"/>
          <a:chOff x="885825" y="803910"/>
          <a:chExt cx="1316355" cy="1379220"/>
        </a:xfrm>
      </xdr:grpSpPr>
      <xdr:pic macro="[0]!Button_Query_Oracle_Click">
        <xdr:nvPicPr>
          <xdr:cNvPr id="6" name="Picture 5" descr="http://icons.iconarchive.com/icons/custom-icon-design/pretty-office-7/256/Sql-runner-icon.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85825" y="803910"/>
            <a:ext cx="1316355" cy="1379220"/>
          </a:xfrm>
          <a:prstGeom prst="rect">
            <a:avLst/>
          </a:prstGeom>
          <a:noFill/>
          <a:extLst>
            <a:ext uri="{909E8E84-426E-40DD-AFC4-6F175D3DCCD1}">
              <a14:hiddenFill xmlns:a14="http://schemas.microsoft.com/office/drawing/2010/main">
                <a:solidFill>
                  <a:srgbClr val="FFFFFF"/>
                </a:solidFill>
              </a14:hiddenFill>
            </a:ext>
          </a:extLst>
        </xdr:spPr>
      </xdr:pic>
      <xdr:sp macro="[0]!Button_Query_Oracle_Click" textlink="">
        <xdr:nvSpPr>
          <xdr:cNvPr id="2" name="TextBox 1"/>
          <xdr:cNvSpPr txBox="1"/>
        </xdr:nvSpPr>
        <xdr:spPr>
          <a:xfrm>
            <a:off x="1638300" y="1600200"/>
            <a:ext cx="541020" cy="29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solidFill>
                  <a:sysClr val="windowText" lastClr="000000"/>
                </a:solidFill>
                <a:latin typeface="Arial Black" panose="020B0A04020102020204" pitchFamily="34" charset="0"/>
                <a:cs typeface="Aharoni" panose="02010803020104030203" pitchFamily="2" charset="-79"/>
              </a:rPr>
              <a:t>Run</a:t>
            </a:r>
          </a:p>
        </xdr:txBody>
      </xdr:sp>
    </xdr:grpSp>
    <xdr:clientData/>
  </xdr:twoCellAnchor>
  <mc:AlternateContent xmlns:mc="http://schemas.openxmlformats.org/markup-compatibility/2006">
    <mc:Choice xmlns:a14="http://schemas.microsoft.com/office/drawing/2010/main" Requires="a14">
      <xdr:twoCellAnchor editAs="oneCell">
        <xdr:from>
          <xdr:col>5</xdr:col>
          <xdr:colOff>411480</xdr:colOff>
          <xdr:row>8</xdr:row>
          <xdr:rowOff>30480</xdr:rowOff>
        </xdr:from>
        <xdr:to>
          <xdr:col>5</xdr:col>
          <xdr:colOff>647700</xdr:colOff>
          <xdr:row>9</xdr:row>
          <xdr:rowOff>15240</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5</xdr:row>
          <xdr:rowOff>0</xdr:rowOff>
        </xdr:from>
        <xdr:to>
          <xdr:col>6</xdr:col>
          <xdr:colOff>0</xdr:colOff>
          <xdr:row>6</xdr:row>
          <xdr:rowOff>7620</xdr:rowOff>
        </xdr:to>
        <xdr:sp macro="" textlink="">
          <xdr:nvSpPr>
            <xdr:cNvPr id="1049" name="QueryDropDown"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youtube.com/watch?v=kC0EJCLZWIw"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23"/>
  <sheetViews>
    <sheetView showGridLines="0" tabSelected="1" zoomScaleNormal="100" workbookViewId="0">
      <selection activeCell="H2" sqref="H2"/>
    </sheetView>
  </sheetViews>
  <sheetFormatPr defaultRowHeight="18.600000000000001" customHeight="1" x14ac:dyDescent="0.3"/>
  <cols>
    <col min="1" max="1" width="7.33203125" customWidth="1"/>
    <col min="2" max="2" width="9.77734375" customWidth="1"/>
    <col min="3" max="3" width="9.109375" customWidth="1"/>
    <col min="4" max="4" width="7.6640625" customWidth="1"/>
    <col min="5" max="5" width="11.5546875" customWidth="1"/>
    <col min="6" max="6" width="48" customWidth="1"/>
    <col min="7" max="7" width="7.88671875" customWidth="1"/>
    <col min="8" max="8" width="84.109375" customWidth="1"/>
  </cols>
  <sheetData>
    <row r="2" spans="2:8" ht="18.600000000000001" customHeight="1" x14ac:dyDescent="0.3">
      <c r="H2" s="20" t="s">
        <v>82</v>
      </c>
    </row>
    <row r="3" spans="2:8" ht="18.600000000000001" customHeight="1" x14ac:dyDescent="0.3">
      <c r="E3" t="s">
        <v>5</v>
      </c>
      <c r="F3" t="s">
        <v>46</v>
      </c>
      <c r="H3" s="1" t="s">
        <v>83</v>
      </c>
    </row>
    <row r="4" spans="2:8" ht="18.600000000000001" customHeight="1" x14ac:dyDescent="0.3">
      <c r="E4" t="s">
        <v>6</v>
      </c>
      <c r="F4" s="21" t="s">
        <v>108</v>
      </c>
      <c r="H4" s="11" t="s">
        <v>85</v>
      </c>
    </row>
    <row r="5" spans="2:8" ht="18.600000000000001" customHeight="1" x14ac:dyDescent="0.3">
      <c r="E5" t="s">
        <v>92</v>
      </c>
      <c r="F5" t="s">
        <v>47</v>
      </c>
      <c r="H5" s="19" t="s">
        <v>93</v>
      </c>
    </row>
    <row r="6" spans="2:8" ht="18.600000000000001" customHeight="1" x14ac:dyDescent="0.3">
      <c r="E6" t="s">
        <v>25</v>
      </c>
      <c r="F6" s="7">
        <v>1</v>
      </c>
      <c r="H6" s="11" t="s">
        <v>106</v>
      </c>
    </row>
    <row r="7" spans="2:8" ht="18.600000000000001" customHeight="1" x14ac:dyDescent="0.3">
      <c r="E7" t="s">
        <v>70</v>
      </c>
      <c r="F7" s="17" t="s">
        <v>66</v>
      </c>
      <c r="H7" s="12" t="s">
        <v>107</v>
      </c>
    </row>
    <row r="8" spans="2:8" ht="18.600000000000001" customHeight="1" x14ac:dyDescent="0.3">
      <c r="E8" t="s">
        <v>71</v>
      </c>
      <c r="F8" s="17" t="s">
        <v>67</v>
      </c>
      <c r="H8" s="12" t="s">
        <v>94</v>
      </c>
    </row>
    <row r="9" spans="2:8" ht="18.600000000000001" customHeight="1" x14ac:dyDescent="0.3">
      <c r="E9" t="s">
        <v>68</v>
      </c>
      <c r="F9" s="6" t="b">
        <f ca="1">IF(VALUE(RIGHT(INFO("OSVERSION"),4))&lt;=6.01,FALSE,TRUE)</f>
        <v>0</v>
      </c>
    </row>
    <row r="10" spans="2:8" ht="18.600000000000001" customHeight="1" x14ac:dyDescent="0.3">
      <c r="B10" t="s">
        <v>7</v>
      </c>
      <c r="C10" s="6" t="b">
        <v>1</v>
      </c>
      <c r="E10" s="18" t="s">
        <v>69</v>
      </c>
      <c r="F10" s="18" t="s">
        <v>73</v>
      </c>
      <c r="H10" s="13" t="s">
        <v>62</v>
      </c>
    </row>
    <row r="11" spans="2:8" ht="18.600000000000001" customHeight="1" x14ac:dyDescent="0.3">
      <c r="H11" s="14" t="s">
        <v>61</v>
      </c>
    </row>
    <row r="13" spans="2:8" ht="18.600000000000001" customHeight="1" x14ac:dyDescent="0.3">
      <c r="H13" s="1" t="s">
        <v>72</v>
      </c>
    </row>
    <row r="14" spans="2:8" ht="18.600000000000001" customHeight="1" x14ac:dyDescent="0.3">
      <c r="H14" t="s">
        <v>58</v>
      </c>
    </row>
    <row r="15" spans="2:8" ht="18.600000000000001" customHeight="1" x14ac:dyDescent="0.3">
      <c r="H15" s="11" t="s">
        <v>74</v>
      </c>
    </row>
    <row r="16" spans="2:8" ht="18.600000000000001" customHeight="1" x14ac:dyDescent="0.3">
      <c r="H16" s="12" t="s">
        <v>98</v>
      </c>
    </row>
    <row r="17" spans="2:11" ht="18.600000000000001" customHeight="1" x14ac:dyDescent="0.3">
      <c r="H17" s="12" t="s">
        <v>99</v>
      </c>
    </row>
    <row r="18" spans="2:11" ht="18.600000000000001" customHeight="1" x14ac:dyDescent="0.3">
      <c r="H18" t="s">
        <v>59</v>
      </c>
    </row>
    <row r="19" spans="2:11" ht="16.2" customHeight="1" x14ac:dyDescent="0.3">
      <c r="B19" t="s">
        <v>34</v>
      </c>
      <c r="F19" t="s">
        <v>75</v>
      </c>
      <c r="H19" s="12" t="s">
        <v>100</v>
      </c>
    </row>
    <row r="20" spans="2:11" ht="18.600000000000001" customHeight="1" x14ac:dyDescent="0.3">
      <c r="C20" s="6" t="b">
        <v>1</v>
      </c>
      <c r="F20" t="s">
        <v>76</v>
      </c>
      <c r="H20" s="12"/>
    </row>
    <row r="23" spans="2:11" ht="18.600000000000001" customHeight="1" x14ac:dyDescent="0.3">
      <c r="K23" s="1"/>
    </row>
  </sheetData>
  <conditionalFormatting sqref="E10:F10">
    <cfRule type="expression" dxfId="0" priority="1">
      <formula>NOT($F$9)</formula>
    </cfRule>
  </conditionalFormatting>
  <hyperlinks>
    <hyperlink ref="H1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Check Box 3">
              <controlPr locked="0" defaultSize="0" autoFill="0" autoLine="0" autoPict="0" altText="">
                <anchor moveWithCells="1">
                  <from>
                    <xdr:col>2</xdr:col>
                    <xdr:colOff>419100</xdr:colOff>
                    <xdr:row>18</xdr:row>
                    <xdr:rowOff>190500</xdr:rowOff>
                  </from>
                  <to>
                    <xdr:col>3</xdr:col>
                    <xdr:colOff>53340</xdr:colOff>
                    <xdr:row>20</xdr:row>
                    <xdr:rowOff>60960</xdr:rowOff>
                  </to>
                </anchor>
              </controlPr>
            </control>
          </mc:Choice>
        </mc:AlternateContent>
        <mc:AlternateContent xmlns:mc="http://schemas.openxmlformats.org/markup-compatibility/2006">
          <mc:Choice Requires="x14">
            <control shapeId="1028" r:id="rId6" name="Check Box 4">
              <controlPr locked="0" defaultSize="0" autoFill="0" autoLine="0" autoPict="0" altText="">
                <anchor moveWithCells="1">
                  <from>
                    <xdr:col>2</xdr:col>
                    <xdr:colOff>449580</xdr:colOff>
                    <xdr:row>9</xdr:row>
                    <xdr:rowOff>0</xdr:rowOff>
                  </from>
                  <to>
                    <xdr:col>3</xdr:col>
                    <xdr:colOff>45720</xdr:colOff>
                    <xdr:row>10</xdr:row>
                    <xdr:rowOff>53340</xdr:rowOff>
                  </to>
                </anchor>
              </controlPr>
            </control>
          </mc:Choice>
        </mc:AlternateContent>
        <mc:AlternateContent xmlns:mc="http://schemas.openxmlformats.org/markup-compatibility/2006">
          <mc:Choice Requires="x14">
            <control shapeId="1046" r:id="rId7" name="Check Box 22">
              <controlPr locked="0" defaultSize="0" autoFill="0" autoLine="0" autoPict="0" altText="">
                <anchor moveWithCells="1">
                  <from>
                    <xdr:col>5</xdr:col>
                    <xdr:colOff>411480</xdr:colOff>
                    <xdr:row>8</xdr:row>
                    <xdr:rowOff>30480</xdr:rowOff>
                  </from>
                  <to>
                    <xdr:col>5</xdr:col>
                    <xdr:colOff>647700</xdr:colOff>
                    <xdr:row>9</xdr:row>
                    <xdr:rowOff>15240</xdr:rowOff>
                  </to>
                </anchor>
              </controlPr>
            </control>
          </mc:Choice>
        </mc:AlternateContent>
        <mc:AlternateContent xmlns:mc="http://schemas.openxmlformats.org/markup-compatibility/2006">
          <mc:Choice Requires="x14">
            <control shapeId="1049" r:id="rId8" name="QueryDropDown">
              <controlPr defaultSize="0" autoLine="0" autoPict="0">
                <anchor moveWithCells="1">
                  <from>
                    <xdr:col>5</xdr:col>
                    <xdr:colOff>22860</xdr:colOff>
                    <xdr:row>5</xdr:row>
                    <xdr:rowOff>0</xdr:rowOff>
                  </from>
                  <to>
                    <xdr:col>6</xdr:col>
                    <xdr:colOff>0</xdr:colOff>
                    <xdr:row>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E20"/>
  <sheetViews>
    <sheetView workbookViewId="0">
      <selection activeCell="A9" sqref="A9"/>
    </sheetView>
  </sheetViews>
  <sheetFormatPr defaultRowHeight="14.4" x14ac:dyDescent="0.3"/>
  <cols>
    <col min="1" max="1" width="47.88671875" customWidth="1"/>
    <col min="2" max="2" width="68.109375" customWidth="1"/>
    <col min="3" max="3" width="61.44140625" customWidth="1"/>
    <col min="4" max="4" width="50.6640625" customWidth="1"/>
    <col min="5" max="5" width="42.88671875" customWidth="1"/>
  </cols>
  <sheetData>
    <row r="2" spans="1:5" ht="15" x14ac:dyDescent="0.25">
      <c r="A2" t="s">
        <v>20</v>
      </c>
      <c r="C2" t="s">
        <v>29</v>
      </c>
    </row>
    <row r="3" spans="1:5" ht="15" x14ac:dyDescent="0.25">
      <c r="A3" t="s">
        <v>19</v>
      </c>
      <c r="C3" t="s">
        <v>30</v>
      </c>
    </row>
    <row r="5" spans="1:5" ht="15" x14ac:dyDescent="0.25">
      <c r="A5" t="s">
        <v>12</v>
      </c>
    </row>
    <row r="6" spans="1:5" ht="15" x14ac:dyDescent="0.25">
      <c r="A6" t="s">
        <v>13</v>
      </c>
    </row>
    <row r="9" spans="1:5" ht="30" customHeight="1" x14ac:dyDescent="0.25">
      <c r="A9" s="5" t="s">
        <v>8</v>
      </c>
      <c r="B9" s="5" t="s">
        <v>9</v>
      </c>
      <c r="C9" s="5" t="s">
        <v>31</v>
      </c>
      <c r="D9" s="5" t="s">
        <v>24</v>
      </c>
      <c r="E9" s="5" t="s">
        <v>40</v>
      </c>
    </row>
    <row r="10" spans="1:5" ht="30" customHeight="1" x14ac:dyDescent="0.3">
      <c r="A10" s="3" t="s">
        <v>18</v>
      </c>
      <c r="B10" s="3" t="s">
        <v>11</v>
      </c>
      <c r="C10" s="3" t="s">
        <v>22</v>
      </c>
      <c r="D10" s="4" t="s">
        <v>14</v>
      </c>
      <c r="E10" s="3"/>
    </row>
    <row r="11" spans="1:5" ht="30" customHeight="1" x14ac:dyDescent="0.3">
      <c r="A11" s="3" t="s">
        <v>33</v>
      </c>
      <c r="B11" s="3" t="s">
        <v>95</v>
      </c>
      <c r="C11" s="3" t="s">
        <v>52</v>
      </c>
      <c r="D11" s="4" t="s">
        <v>4</v>
      </c>
      <c r="E11" s="10" t="s">
        <v>42</v>
      </c>
    </row>
    <row r="12" spans="1:5" ht="30" customHeight="1" x14ac:dyDescent="0.3">
      <c r="A12" s="3" t="s">
        <v>21</v>
      </c>
      <c r="B12" s="3" t="s">
        <v>103</v>
      </c>
      <c r="C12" s="3" t="s">
        <v>50</v>
      </c>
      <c r="D12" s="4" t="s">
        <v>1</v>
      </c>
      <c r="E12" s="10" t="s">
        <v>44</v>
      </c>
    </row>
    <row r="13" spans="1:5" ht="30" customHeight="1" x14ac:dyDescent="0.3">
      <c r="A13" s="3" t="s">
        <v>28</v>
      </c>
      <c r="B13" s="3" t="s">
        <v>105</v>
      </c>
      <c r="C13" s="3" t="s">
        <v>49</v>
      </c>
      <c r="D13" s="4" t="s">
        <v>2</v>
      </c>
      <c r="E13" s="10" t="s">
        <v>45</v>
      </c>
    </row>
    <row r="14" spans="1:5" ht="30" customHeight="1" x14ac:dyDescent="0.3">
      <c r="A14" s="3" t="s">
        <v>55</v>
      </c>
      <c r="B14" s="3" t="s">
        <v>102</v>
      </c>
      <c r="C14" s="3" t="s">
        <v>56</v>
      </c>
      <c r="D14" s="15" t="s">
        <v>53</v>
      </c>
      <c r="E14" s="10" t="s">
        <v>54</v>
      </c>
    </row>
    <row r="15" spans="1:5" ht="30" customHeight="1" x14ac:dyDescent="0.3">
      <c r="A15" s="3" t="s">
        <v>87</v>
      </c>
      <c r="B15" s="3" t="s">
        <v>101</v>
      </c>
      <c r="C15" s="3" t="s">
        <v>65</v>
      </c>
      <c r="D15" s="15" t="s">
        <v>63</v>
      </c>
      <c r="E15" s="10" t="s">
        <v>64</v>
      </c>
    </row>
    <row r="16" spans="1:5" ht="30" customHeight="1" x14ac:dyDescent="0.3">
      <c r="A16" s="3" t="s">
        <v>86</v>
      </c>
      <c r="B16" s="3" t="s">
        <v>96</v>
      </c>
      <c r="C16" s="3" t="s">
        <v>84</v>
      </c>
      <c r="D16" s="4" t="s">
        <v>3</v>
      </c>
      <c r="E16" s="10" t="s">
        <v>41</v>
      </c>
    </row>
    <row r="17" spans="1:5" ht="30" customHeight="1" x14ac:dyDescent="0.3">
      <c r="A17" s="3" t="s">
        <v>32</v>
      </c>
      <c r="B17" s="3" t="s">
        <v>104</v>
      </c>
      <c r="C17" s="3" t="s">
        <v>51</v>
      </c>
      <c r="D17" s="4" t="s">
        <v>0</v>
      </c>
      <c r="E17" s="10" t="s">
        <v>43</v>
      </c>
    </row>
    <row r="18" spans="1:5" ht="30" customHeight="1" x14ac:dyDescent="0.3">
      <c r="A18" s="3" t="s">
        <v>91</v>
      </c>
      <c r="B18" s="3" t="s">
        <v>97</v>
      </c>
      <c r="C18" s="9" t="s">
        <v>90</v>
      </c>
      <c r="D18" s="4" t="s">
        <v>88</v>
      </c>
      <c r="E18" s="10" t="s">
        <v>89</v>
      </c>
    </row>
    <row r="19" spans="1:5" ht="28.8" x14ac:dyDescent="0.3">
      <c r="A19" s="3" t="s">
        <v>36</v>
      </c>
      <c r="B19" s="3" t="s">
        <v>37</v>
      </c>
      <c r="C19" s="3" t="s">
        <v>38</v>
      </c>
      <c r="D19" s="16"/>
    </row>
    <row r="20" spans="1:5" ht="51" customHeight="1" x14ac:dyDescent="0.3">
      <c r="A20" s="3" t="s">
        <v>39</v>
      </c>
      <c r="B20" s="3" t="s">
        <v>26</v>
      </c>
      <c r="C20" s="2" t="s">
        <v>27</v>
      </c>
      <c r="D20" s="4" t="s">
        <v>23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4" x14ac:dyDescent="0.3"/>
  <sheetData>
    <row r="1" spans="1:1" x14ac:dyDescent="0.3">
      <c r="A1" t="s">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5"/>
  <sheetViews>
    <sheetView workbookViewId="0"/>
  </sheetViews>
  <sheetFormatPr defaultRowHeight="14.4" x14ac:dyDescent="0.3"/>
  <cols>
    <col min="1" max="1" width="92.6640625" customWidth="1"/>
  </cols>
  <sheetData>
    <row r="1" spans="1:1" x14ac:dyDescent="0.3">
      <c r="A1" t="s">
        <v>77</v>
      </c>
    </row>
    <row r="3" spans="1:1" x14ac:dyDescent="0.3">
      <c r="A3" t="s">
        <v>78</v>
      </c>
    </row>
    <row r="4" spans="1:1" x14ac:dyDescent="0.3">
      <c r="A4" t="s">
        <v>15</v>
      </c>
    </row>
    <row r="5" spans="1:1" x14ac:dyDescent="0.3">
      <c r="A5" t="s">
        <v>16</v>
      </c>
    </row>
    <row r="6" spans="1:1" x14ac:dyDescent="0.3">
      <c r="A6" t="s">
        <v>17</v>
      </c>
    </row>
    <row r="8" spans="1:1" x14ac:dyDescent="0.3">
      <c r="A8" t="s">
        <v>10</v>
      </c>
    </row>
    <row r="9" spans="1:1" x14ac:dyDescent="0.3">
      <c r="A9" t="s">
        <v>79</v>
      </c>
    </row>
    <row r="10" spans="1:1" x14ac:dyDescent="0.3">
      <c r="A10" t="s">
        <v>80</v>
      </c>
    </row>
    <row r="11" spans="1:1" x14ac:dyDescent="0.3">
      <c r="A11" t="s">
        <v>35</v>
      </c>
    </row>
    <row r="12" spans="1:1" x14ac:dyDescent="0.3">
      <c r="A12" s="8" t="s">
        <v>57</v>
      </c>
    </row>
    <row r="13" spans="1:1" x14ac:dyDescent="0.3">
      <c r="A13" t="s">
        <v>48</v>
      </c>
    </row>
    <row r="15" spans="1:1" x14ac:dyDescent="0.3">
      <c r="A15" t="s">
        <v>81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Main</vt:lpstr>
      <vt:lpstr>Queries</vt:lpstr>
      <vt:lpstr>Data</vt:lpstr>
      <vt:lpstr>Pivot</vt:lpstr>
      <vt:lpstr>Notes</vt:lpstr>
      <vt:lpstr>Custom_plot</vt:lpstr>
      <vt:lpstr>dbalias</vt:lpstr>
      <vt:lpstr>DBPassword</vt:lpstr>
      <vt:lpstr>EndTime</vt:lpstr>
      <vt:lpstr>ODBC_Name</vt:lpstr>
      <vt:lpstr>Oracle_ODBC</vt:lpstr>
      <vt:lpstr>QueryDropDown_Value</vt:lpstr>
      <vt:lpstr>Show_SQL</vt:lpstr>
      <vt:lpstr>StartTime</vt:lpstr>
      <vt:lpstr>UserName</vt:lpstr>
    </vt:vector>
  </TitlesOfParts>
  <Company>CERN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Canali</dc:creator>
  <cp:lastModifiedBy>Luca Canali</cp:lastModifiedBy>
  <dcterms:created xsi:type="dcterms:W3CDTF">2012-10-04T14:30:11Z</dcterms:created>
  <dcterms:modified xsi:type="dcterms:W3CDTF">2015-02-19T20:08:43Z</dcterms:modified>
</cp:coreProperties>
</file>